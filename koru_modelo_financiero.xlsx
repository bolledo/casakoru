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iegorebolledo/Library/CloudStorage/GoogleDrive-diegorebolledo@gmail.com/My Drive/Libertad y Propósito/Koru Elite/"/>
    </mc:Choice>
  </mc:AlternateContent>
  <xr:revisionPtr revIDLastSave="0" documentId="8_{218A9CB3-8D2C-304C-9026-F75C4F9C7D2C}" xr6:coauthVersionLast="47" xr6:coauthVersionMax="47" xr10:uidLastSave="{00000000-0000-0000-0000-000000000000}"/>
  <bookViews>
    <workbookView xWindow="0" yWindow="780" windowWidth="41120" windowHeight="24320" tabRatio="500" xr2:uid="{00000000-000D-0000-FFFF-FFFF00000000}"/>
  </bookViews>
  <sheets>
    <sheet name="1. Supuestos" sheetId="1" r:id="rId1"/>
    <sheet name="2. P&amp;L Año 1 Mensual" sheetId="2" r:id="rId2"/>
    <sheet name="3. Proyección 5 Años" sheetId="3" r:id="rId3"/>
    <sheet name="4. Unit Economic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3" l="1"/>
  <c r="G24" i="3"/>
  <c r="G23" i="3"/>
  <c r="G22" i="3"/>
  <c r="G21" i="3"/>
  <c r="G20" i="3"/>
  <c r="G19" i="3"/>
  <c r="G18" i="3"/>
  <c r="G16" i="3"/>
  <c r="G15" i="3"/>
  <c r="G14" i="3"/>
  <c r="G13" i="3"/>
  <c r="G12" i="3"/>
  <c r="G10" i="3"/>
  <c r="G9" i="3"/>
  <c r="G8" i="3"/>
  <c r="G7" i="3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19" i="2"/>
  <c r="O18" i="2"/>
  <c r="O17" i="2"/>
  <c r="O16" i="2"/>
  <c r="O15" i="2"/>
  <c r="O14" i="2"/>
  <c r="O13" i="2"/>
  <c r="O11" i="2"/>
  <c r="O10" i="2"/>
  <c r="O9" i="2"/>
  <c r="O8" i="2"/>
  <c r="O7" i="2"/>
  <c r="B41" i="1"/>
  <c r="C33" i="1"/>
  <c r="D32" i="1"/>
  <c r="D31" i="1"/>
  <c r="D30" i="1"/>
  <c r="D29" i="1"/>
  <c r="D28" i="1"/>
  <c r="D27" i="1"/>
  <c r="D26" i="1"/>
  <c r="D33" i="1" s="1"/>
</calcChain>
</file>

<file path=xl/sharedStrings.xml><?xml version="1.0" encoding="utf-8"?>
<sst xmlns="http://schemas.openxmlformats.org/spreadsheetml/2006/main" count="179" uniqueCount="159">
  <si>
    <t>KORU ELITE PERFORMANCE — Modelo Financiero  |  Supuestos Base</t>
  </si>
  <si>
    <t>Mercado: Chile (CLP)  ·  TC referencia: $950 CLP/USD  ·  Escenario: Conservador</t>
  </si>
  <si>
    <t>PRECIOS — PLANES DE MEMBRESÍA (CLP)</t>
  </si>
  <si>
    <t>Concepto</t>
  </si>
  <si>
    <t>Monto CLP</t>
  </si>
  <si>
    <t>Equiv. USD</t>
  </si>
  <si>
    <t>Notas</t>
  </si>
  <si>
    <t>Plan Core — Programa 6 meses</t>
  </si>
  <si>
    <t>~USD 4,800</t>
  </si>
  <si>
    <t>Ticket emprendedor</t>
  </si>
  <si>
    <t>Plan Core — Renovación trimestral</t>
  </si>
  <si>
    <t>~USD 2,100</t>
  </si>
  <si>
    <t>75% tasa renovación</t>
  </si>
  <si>
    <t>Plan Elite — Programa 6 meses</t>
  </si>
  <si>
    <t>~USD 8,400</t>
  </si>
  <si>
    <t>Ticket C-Suite</t>
  </si>
  <si>
    <t>Plan Elite — Renovación trimestral</t>
  </si>
  <si>
    <t>~USD 3,600</t>
  </si>
  <si>
    <t>Plan Corporate — Por ejecutivo 6M</t>
  </si>
  <si>
    <t>~USD 5,400</t>
  </si>
  <si>
    <t>Mínimo 5 ejecutivos</t>
  </si>
  <si>
    <t>Plan Corporate — Renovación trim.</t>
  </si>
  <si>
    <t>~USD 2,400</t>
  </si>
  <si>
    <t>80% renovación corp</t>
  </si>
  <si>
    <t>Ticket promedio ponderado 6M</t>
  </si>
  <si>
    <t>~USD 6,842</t>
  </si>
  <si>
    <t>Mix 40/40/20</t>
  </si>
  <si>
    <t>MIX DE PACIENTES Y PARÁMETROS CLAVE</t>
  </si>
  <si>
    <t>Plan Core (emprendedores)</t>
  </si>
  <si>
    <t>Plan Elite (C-Suite individual)</t>
  </si>
  <si>
    <t>Plan Corporate (empresas)</t>
  </si>
  <si>
    <t>Tasa de renovación trimestral</t>
  </si>
  <si>
    <t>Churn anual estimado</t>
  </si>
  <si>
    <t>Referidos orgánicos / pac. / año</t>
  </si>
  <si>
    <t>Umbral transición a nómina (pac.)</t>
  </si>
  <si>
    <t>Tipo de cambio CLP/USD</t>
  </si>
  <si>
    <t>COSTOS DE EQUIPO — MODELO FREELANCE → NÓMINA</t>
  </si>
  <si>
    <t>Rol</t>
  </si>
  <si>
    <t>Tarifa Honorario/h</t>
  </si>
  <si>
    <t>Horas/pac/mes</t>
  </si>
  <si>
    <t>Costo unit./pac.</t>
  </si>
  <si>
    <t>Transición nómina</t>
  </si>
  <si>
    <t>Sueldo fijo/mes</t>
  </si>
  <si>
    <t>Medicina de Precisión</t>
  </si>
  <si>
    <t>Mes 10 (20 pac.)</t>
  </si>
  <si>
    <t>Preparador Físico</t>
  </si>
  <si>
    <t>Mes 14 (25 pac.)</t>
  </si>
  <si>
    <t>Psicóloga</t>
  </si>
  <si>
    <t>Kinesióloga</t>
  </si>
  <si>
    <t>Mes 16 (25 pac.)</t>
  </si>
  <si>
    <t>Performance Coach</t>
  </si>
  <si>
    <t>Guía Espiritual</t>
  </si>
  <si>
    <t>Mes 20 (30 pac.)</t>
  </si>
  <si>
    <t>Data Analyst</t>
  </si>
  <si>
    <t>TOTAL COSTO EQUIPO / PAC. / MES</t>
  </si>
  <si>
    <t>GASTOS FIJOS OPERACIONALES MENSUALES</t>
  </si>
  <si>
    <t>Arriendo espacio clínico</t>
  </si>
  <si>
    <t>Tecnología (EMR, app, dashboards)</t>
  </si>
  <si>
    <t>Marketing y adquisición</t>
  </si>
  <si>
    <t>Contabilidad / legal</t>
  </si>
  <si>
    <t>Seguros y gastos administrativos</t>
  </si>
  <si>
    <t>TOTAL GASTOS FIJOS MENSUALES</t>
  </si>
  <si>
    <t>KORU ELITE PERFORMANCE — P&amp;L Mensual Año 1 (CLP miles)</t>
  </si>
  <si>
    <t>Escenario Conservador: 5 pacientes mes 1 → 20 pacientes mes 12  ·  Moneda: CLP miles (000)</t>
  </si>
  <si>
    <t>Línea P&amp;L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</si>
  <si>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</si>
  <si>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</si>
  <si>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</si>
  <si>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</si>
  <si>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</si>
  <si>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</si>
  <si>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</si>
  <si>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</si>
  <si>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</si>
  <si>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</si>
  <si>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</si>
  <si>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</si>
  <si>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A1</t>
  </si>
  <si>
    <t>Pacientes activos</t>
  </si>
  <si>
    <t>—</t>
  </si>
  <si>
    <t>INGRESOS</t>
  </si>
  <si>
    <t xml:space="preserve">  Programas base — nuevos pacientes</t>
  </si>
  <si>
    <t xml:space="preserve">  Renovaciones trimestrales</t>
  </si>
  <si>
    <t xml:space="preserve">  Suplementos (margen neto)</t>
  </si>
  <si>
    <t xml:space="preserve">  Laboratorio pass-through (margen 20%)</t>
  </si>
  <si>
    <t>INGRESOS TOTALES</t>
  </si>
  <si>
    <t>COSTO DE VENTAS (CV)</t>
  </si>
  <si>
    <t xml:space="preserve">  Honorarios equipo (freelance)</t>
  </si>
  <si>
    <t xml:space="preserve">  Insumos clínicos (CGM, kits lab)</t>
  </si>
  <si>
    <t xml:space="preserve">  Laboratorio externo (costo directo)</t>
  </si>
  <si>
    <t xml:space="preserve">  Wearables — amortización mensual</t>
  </si>
  <si>
    <t>TOTAL COSTO DE VENTAS</t>
  </si>
  <si>
    <t>MARGEN BRUTO</t>
  </si>
  <si>
    <t xml:space="preserve">  % Margen Bruto</t>
  </si>
  <si>
    <t>GASTOS OPERACIONALES (OPEX)</t>
  </si>
  <si>
    <t xml:space="preserve">  Arriendo espacio clínico</t>
  </si>
  <si>
    <t xml:space="preserve">  Tecnología (EMR, app, dashboards)</t>
  </si>
  <si>
    <t xml:space="preserve">  Marketing y adquisición</t>
  </si>
  <si>
    <t xml:space="preserve">  Contabilidad / legal</t>
  </si>
  <si>
    <t xml:space="preserve">  Seguros y gastos administrativos</t>
  </si>
  <si>
    <t>TOTAL OPEX</t>
  </si>
  <si>
    <t>EBITDA</t>
  </si>
  <si>
    <t xml:space="preserve">  % EBITDA</t>
  </si>
  <si>
    <t xml:space="preserve">  Depreciación / Amortización</t>
  </si>
  <si>
    <t>EBIT</t>
  </si>
  <si>
    <t xml:space="preserve">  Impuesto a la renta (27%)</t>
  </si>
  <si>
    <t>UTILIDAD NETA</t>
  </si>
  <si>
    <t xml:space="preserve">  % Utilidad Neta</t>
  </si>
  <si>
    <t>KPIs RESUMEN — AÑO 1</t>
  </si>
  <si>
    <t>Ingresos totales A1 (CLP MM)</t>
  </si>
  <si>
    <t>EBITDA total A1 (CLP MM)</t>
  </si>
  <si>
    <t>Utilidad Neta A1 (CLP MM)</t>
  </si>
  <si>
    <t>Margen EBITDA promedio</t>
  </si>
  <si>
    <t>Margen Neto promedio</t>
  </si>
  <si>
    <t>KORU ELITE PERFORMANCE — Proyección P&amp;L 5 Años (CLP millones)</t>
  </si>
  <si>
    <t>Moneda: CLP millones (MM)  ·  Supuestos de crecimiento en pestaña Supuestos</t>
  </si>
  <si>
    <t>Año 1</t>
  </si>
  <si>
    <t>Año 2</t>
  </si>
  <si>
    <t>Año 3</t>
  </si>
  <si>
    <t>Año 4</t>
  </si>
  <si>
    <t>Año 5</t>
  </si>
  <si>
    <t>Acum. 5 años</t>
  </si>
  <si>
    <t>Pacientes activos promedio</t>
  </si>
  <si>
    <t xml:space="preserve">  Programas base — nuevos</t>
  </si>
  <si>
    <t xml:space="preserve">  Otros (suplementos, lab)</t>
  </si>
  <si>
    <t>COSTO DE VENTAS</t>
  </si>
  <si>
    <t xml:space="preserve">  Honorarios / nómina equipo</t>
  </si>
  <si>
    <t xml:space="preserve">  Insumos, lab, wearables</t>
  </si>
  <si>
    <t xml:space="preserve">  Depreciación</t>
  </si>
  <si>
    <t xml:space="preserve">  Impuesto renta (27%)</t>
  </si>
  <si>
    <t>KPIs RESUMEN — ACUMULADO 5 AÑOS</t>
  </si>
  <si>
    <t>Ingresos acumulados 5 años (CLP MM)</t>
  </si>
  <si>
    <t>EBITDA acumulado 5 años (CLP MM)</t>
  </si>
  <si>
    <t>Utilidad Neta acumulada 5 años (CLP MM)</t>
  </si>
  <si>
    <t>Margen EBITDA promedio 5 años</t>
  </si>
  <si>
    <t>Margen Neto promedio 5 años</t>
  </si>
  <si>
    <t>Break-even operacional</t>
  </si>
  <si>
    <t>Mes 4 (~14 pac.)</t>
  </si>
  <si>
    <t>Valuación estimada año 5 (5-7× EBITDA)</t>
  </si>
  <si>
    <t>~USD 7–10M</t>
  </si>
  <si>
    <t>KORU ELITE PERFORMANCE — Unit Economics por Paciente</t>
  </si>
  <si>
    <t>REVENUE POR PACIENTE — AÑO 1 COMPLETO (ticket prom.)</t>
  </si>
  <si>
    <t xml:space="preserve">  Programa base 6 meses</t>
  </si>
  <si>
    <t xml:space="preserve">  Renovación trim. ×2 (75% tasa)</t>
  </si>
  <si>
    <t xml:space="preserve">  Lab pass-through (margen 20%)</t>
  </si>
  <si>
    <t>ACV PACIENTE AÑO 1</t>
  </si>
  <si>
    <t>COSTO POR PACIENTE — AÑO 1 COMPLETO</t>
  </si>
  <si>
    <t xml:space="preserve">  Equipo honorarios (6 meses activo)</t>
  </si>
  <si>
    <t xml:space="preserve">  Insumos + lab + wearables</t>
  </si>
  <si>
    <t xml:space="preserve">  Fijos prorrateados (÷ pac. promedio)</t>
  </si>
  <si>
    <t xml:space="preserve">  Marketing / adquisición (CAC)</t>
  </si>
  <si>
    <t>COSTO TOTAL / PAC.</t>
  </si>
  <si>
    <t>LTV — VALOR DE VIDA DEL CLIENTE (CLP)</t>
  </si>
  <si>
    <t xml:space="preserve">  ACV año 1 (ticket prom. ponderado)</t>
  </si>
  <si>
    <t xml:space="preserve">  ACV año 2+ (renovaciones 4× al año)</t>
  </si>
  <si>
    <t xml:space="preserve">  Churn anual estimado</t>
  </si>
  <si>
    <t>20%</t>
  </si>
  <si>
    <t xml:space="preserve">  LTV estimado (3 años, 80% retención)</t>
  </si>
  <si>
    <t xml:space="preserve">  LTV estimado (5 años, 75% retención)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</si>
</sst>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"/>
    <numFmt numFmtId="167" formatCode="#,##0.0;\(#,##0.0\);\-"/>
  </numFmts>
  <fonts count="33" x14ac:knownFonts="1">
    <font>
      <sz val="11"/>
      <color theme="1"/>
      <name val="Calibri"/>
      <family val="2"/>
      <charset val="1"/>
    </font>
    <font>
      <b/>
      <sz val="14"/>
      <color rgb="FFD4B06A"/>
      <name val="Arial"/>
      <family val="2"/>
    </font>
    <font>
      <sz val="9"/>
      <color rgb="FFB8974A"/>
      <name val="Arial"/>
      <family val="2"/>
    </font>
    <font>
      <b/>
      <sz val="9"/>
      <color rgb="FFD4B06A"/>
      <name val="Arial"/>
      <family val="2"/>
    </font>
    <font>
      <b/>
      <sz val="9"/>
      <color rgb="FFFFFFFF"/>
      <name val="Arial"/>
      <family val="2"/>
    </font>
    <font>
      <sz val="9"/>
      <color rgb="FF444444"/>
      <name val="Arial"/>
      <family val="2"/>
    </font>
    <font>
      <b/>
      <sz val="9"/>
      <color rgb="FF0000FF"/>
      <name val="Arial"/>
      <family val="2"/>
    </font>
    <font>
      <sz val="9"/>
      <color rgb="FF666666"/>
      <name val="Arial"/>
      <family val="2"/>
    </font>
    <font>
      <i/>
      <sz val="8"/>
      <color rgb="FF888888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b/>
      <sz val="9"/>
      <color rgb="FF0E0E12"/>
      <name val="Arial"/>
      <family val="2"/>
    </font>
    <font>
      <b/>
      <sz val="9"/>
      <name val="Arial"/>
      <family val="2"/>
    </font>
    <font>
      <b/>
      <sz val="9"/>
      <color rgb="FF9A3A20"/>
      <name val="Arial"/>
      <family val="2"/>
    </font>
    <font>
      <i/>
      <sz val="8"/>
      <color rgb="FF666666"/>
      <name val="Arial"/>
      <family val="2"/>
    </font>
    <font>
      <sz val="8"/>
      <color rgb="FF0000FF"/>
      <name val="Arial"/>
      <family val="2"/>
    </font>
    <font>
      <sz val="8"/>
      <color rgb="FFAAAAAA"/>
      <name val="Arial"/>
      <family val="2"/>
    </font>
    <font>
      <b/>
      <sz val="9"/>
      <color rgb="FF2A7A6A"/>
      <name val="Arial"/>
      <family val="2"/>
    </font>
    <font>
      <b/>
      <sz val="9"/>
      <color rgb="FFB8974A"/>
      <name val="Arial"/>
      <family val="2"/>
    </font>
    <font>
      <i/>
      <sz val="8"/>
      <color rgb="FF444444"/>
      <name val="Arial"/>
      <family val="2"/>
    </font>
    <font>
      <i/>
      <sz val="8"/>
      <color rgb="FF000000"/>
      <name val="Arial"/>
      <family val="2"/>
    </font>
    <font>
      <b/>
      <sz val="9"/>
      <color rgb="FF5A3A7A"/>
      <name val="Arial"/>
      <family val="2"/>
    </font>
    <font>
      <i/>
      <sz val="8"/>
      <color rgb="FF9A3A20"/>
      <name val="Arial"/>
      <family val="2"/>
    </font>
    <font>
      <b/>
      <sz val="9"/>
      <color rgb="FF000000"/>
      <name val="Arial"/>
      <family val="2"/>
    </font>
    <font>
      <b/>
      <sz val="10"/>
      <color rgb="FFB8974A"/>
      <name val="Arial"/>
      <family val="2"/>
    </font>
    <font>
      <b/>
      <sz val="10"/>
      <color rgb="FF2A7A6A"/>
      <name val="Arial"/>
      <family val="2"/>
    </font>
    <font>
      <i/>
      <sz val="8"/>
      <color rgb="FF2A7A6A"/>
      <name val="Arial"/>
      <family val="2"/>
    </font>
    <font>
      <i/>
      <sz val="8"/>
      <color rgb="FFB8974A"/>
      <name val="Arial"/>
      <family val="2"/>
    </font>
    <font>
      <b/>
      <sz val="10"/>
      <color rgb="FF5A3A7A"/>
      <name val="Arial"/>
      <family val="2"/>
    </font>
    <font>
      <b/>
      <sz val="10"/>
      <color rgb="FF9A3A20"/>
      <name val="Arial"/>
      <family val="2"/>
    </font>
    <font>
      <b/>
      <sz val="10"/>
      <name val="Arial"/>
      <family val="2"/>
    </font>
    <font>
      <b/>
      <sz val="12"/>
      <color rgb="FFB8974A"/>
      <name val="Arial"/>
      <family val="2"/>
    </font>
    <font>
      <b/>
      <sz val="12"/>
      <color rgb="FF9A3A2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E0E12"/>
        <bgColor rgb="FF000000"/>
      </patternFill>
    </fill>
    <fill>
      <patternFill patternType="solid">
        <fgColor rgb="FF3A3A4A"/>
        <bgColor rgb="FF444444"/>
      </patternFill>
    </fill>
    <fill>
      <patternFill patternType="solid">
        <fgColor rgb="FFF6F2EB"/>
        <bgColor rgb="FFFAF0EE"/>
      </patternFill>
    </fill>
    <fill>
      <patternFill patternType="solid">
        <fgColor rgb="FFEDE8DF"/>
        <bgColor rgb="FFF0EDE6"/>
      </patternFill>
    </fill>
    <fill>
      <patternFill patternType="solid">
        <fgColor rgb="FFF0EDE6"/>
        <bgColor rgb="FFEDE8DF"/>
      </patternFill>
    </fill>
    <fill>
      <patternFill patternType="solid">
        <fgColor rgb="FF2C2C38"/>
        <bgColor rgb="FF3A3A4A"/>
      </patternFill>
    </fill>
    <fill>
      <patternFill patternType="solid">
        <fgColor rgb="FFE8F4F1"/>
        <bgColor rgb="FFF0EDF6"/>
      </patternFill>
    </fill>
    <fill>
      <patternFill patternType="solid">
        <fgColor rgb="FFFAF0EE"/>
        <bgColor rgb="FFF6F2EB"/>
      </patternFill>
    </fill>
    <fill>
      <patternFill patternType="solid">
        <fgColor rgb="FFF0EDF6"/>
        <bgColor rgb="FFF0ED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/>
      <bottom style="medium">
        <color rgb="FF555555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2"/>
    </xf>
    <xf numFmtId="164" fontId="6" fillId="4" borderId="1" xfId="0" applyNumberFormat="1" applyFont="1" applyFill="1" applyBorder="1"/>
    <xf numFmtId="0" fontId="7" fillId="4" borderId="1" xfId="0" applyFont="1" applyFill="1" applyBorder="1"/>
    <xf numFmtId="0" fontId="8" fillId="4" borderId="1" xfId="0" applyFont="1" applyFill="1" applyBorder="1"/>
    <xf numFmtId="165" fontId="6" fillId="4" borderId="1" xfId="0" applyNumberFormat="1" applyFont="1" applyFill="1" applyBorder="1"/>
    <xf numFmtId="0" fontId="0" fillId="0" borderId="1" xfId="0" applyBorder="1"/>
    <xf numFmtId="166" fontId="6" fillId="4" borderId="1" xfId="0" applyNumberFormat="1" applyFont="1" applyFill="1" applyBorder="1"/>
    <xf numFmtId="1" fontId="6" fillId="4" borderId="1" xfId="0" applyNumberFormat="1" applyFont="1" applyFill="1" applyBorder="1"/>
    <xf numFmtId="0" fontId="4" fillId="3" borderId="0" xfId="0" applyFont="1" applyFill="1" applyAlignment="1">
      <alignment horizontal="center" vertical="center" wrapText="1"/>
    </xf>
    <xf numFmtId="164" fontId="9" fillId="4" borderId="1" xfId="0" applyNumberFormat="1" applyFont="1" applyFill="1" applyBorder="1"/>
    <xf numFmtId="166" fontId="9" fillId="4" borderId="1" xfId="0" applyNumberFormat="1" applyFont="1" applyFill="1" applyBorder="1"/>
    <xf numFmtId="164" fontId="10" fillId="4" borderId="1" xfId="0" applyNumberFormat="1" applyFont="1" applyFill="1" applyBorder="1"/>
    <xf numFmtId="0" fontId="11" fillId="5" borderId="2" xfId="0" applyFont="1" applyFill="1" applyBorder="1" applyAlignment="1">
      <alignment horizontal="left" vertical="center"/>
    </xf>
    <xf numFmtId="0" fontId="0" fillId="0" borderId="2" xfId="0" applyBorder="1"/>
    <xf numFmtId="166" fontId="12" fillId="5" borderId="2" xfId="0" applyNumberFormat="1" applyFont="1" applyFill="1" applyBorder="1"/>
    <xf numFmtId="164" fontId="13" fillId="5" borderId="2" xfId="0" applyNumberFormat="1" applyFont="1" applyFill="1" applyBorder="1"/>
    <xf numFmtId="0" fontId="4" fillId="3" borderId="0" xfId="0" applyFont="1" applyFill="1"/>
    <xf numFmtId="0" fontId="0" fillId="3" borderId="0" xfId="0" applyFill="1"/>
    <xf numFmtId="0" fontId="3" fillId="2" borderId="0" xfId="0" applyFont="1" applyFill="1" applyAlignment="1">
      <alignment horizontal="center" vertical="center"/>
    </xf>
    <xf numFmtId="0" fontId="14" fillId="6" borderId="0" xfId="0" applyFont="1" applyFill="1"/>
    <xf numFmtId="0" fontId="15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4" fillId="7" borderId="0" xfId="0" applyFont="1" applyFill="1"/>
    <xf numFmtId="0" fontId="0" fillId="7" borderId="0" xfId="0" applyFill="1"/>
    <xf numFmtId="0" fontId="0" fillId="4" borderId="1" xfId="0" applyFill="1" applyBorder="1"/>
    <xf numFmtId="164" fontId="9" fillId="4" borderId="1" xfId="0" applyNumberFormat="1" applyFont="1" applyFill="1" applyBorder="1" applyAlignment="1">
      <alignment horizontal="right" vertical="center"/>
    </xf>
    <xf numFmtId="164" fontId="10" fillId="4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0" fontId="0" fillId="8" borderId="1" xfId="0" applyFill="1" applyBorder="1"/>
    <xf numFmtId="164" fontId="17" fillId="8" borderId="1" xfId="0" applyNumberFormat="1" applyFont="1" applyFill="1" applyBorder="1" applyAlignment="1">
      <alignment horizontal="right" vertical="center"/>
    </xf>
    <xf numFmtId="164" fontId="18" fillId="2" borderId="1" xfId="0" applyNumberFormat="1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left" vertical="center"/>
    </xf>
    <xf numFmtId="0" fontId="0" fillId="9" borderId="1" xfId="0" applyFill="1" applyBorder="1"/>
    <xf numFmtId="164" fontId="13" fillId="9" borderId="1" xfId="0" applyNumberFormat="1" applyFont="1" applyFill="1" applyBorder="1" applyAlignment="1">
      <alignment horizontal="right" vertical="center"/>
    </xf>
    <xf numFmtId="0" fontId="19" fillId="4" borderId="1" xfId="0" applyFont="1" applyFill="1" applyBorder="1" applyAlignment="1">
      <alignment horizontal="left" vertical="center" indent="2"/>
    </xf>
    <xf numFmtId="165" fontId="20" fillId="4" borderId="1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164" fontId="21" fillId="10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164" fontId="13" fillId="2" borderId="1" xfId="0" applyNumberFormat="1" applyFont="1" applyFill="1" applyBorder="1" applyAlignment="1">
      <alignment horizontal="right" vertical="center"/>
    </xf>
    <xf numFmtId="165" fontId="22" fillId="4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0" fillId="5" borderId="1" xfId="0" applyFill="1" applyBorder="1"/>
    <xf numFmtId="164" fontId="23" fillId="5" borderId="1" xfId="0" applyNumberFormat="1" applyFont="1" applyFill="1" applyBorder="1" applyAlignment="1">
      <alignment horizontal="right" vertical="center"/>
    </xf>
    <xf numFmtId="164" fontId="13" fillId="5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/>
    <xf numFmtId="167" fontId="24" fillId="4" borderId="1" xfId="0" applyNumberFormat="1" applyFont="1" applyFill="1" applyBorder="1"/>
    <xf numFmtId="165" fontId="25" fillId="4" borderId="1" xfId="0" applyNumberFormat="1" applyFont="1" applyFill="1" applyBorder="1"/>
    <xf numFmtId="0" fontId="4" fillId="2" borderId="0" xfId="0" applyFont="1" applyFill="1" applyAlignment="1">
      <alignment horizontal="center" vertical="center"/>
    </xf>
    <xf numFmtId="0" fontId="8" fillId="6" borderId="0" xfId="0" applyFont="1" applyFill="1"/>
    <xf numFmtId="167" fontId="9" fillId="4" borderId="1" xfId="0" applyNumberFormat="1" applyFont="1" applyFill="1" applyBorder="1" applyAlignment="1">
      <alignment horizontal="right" vertical="center"/>
    </xf>
    <xf numFmtId="167" fontId="10" fillId="4" borderId="1" xfId="0" applyNumberFormat="1" applyFont="1" applyFill="1" applyBorder="1" applyAlignment="1">
      <alignment horizontal="right" vertical="center"/>
    </xf>
    <xf numFmtId="167" fontId="17" fillId="5" borderId="1" xfId="0" applyNumberFormat="1" applyFont="1" applyFill="1" applyBorder="1" applyAlignment="1">
      <alignment horizontal="right" vertical="center"/>
    </xf>
    <xf numFmtId="167" fontId="17" fillId="2" borderId="1" xfId="0" applyNumberFormat="1" applyFont="1" applyFill="1" applyBorder="1" applyAlignment="1">
      <alignment horizontal="right" vertical="center"/>
    </xf>
    <xf numFmtId="167" fontId="18" fillId="2" borderId="1" xfId="0" applyNumberFormat="1" applyFont="1" applyFill="1" applyBorder="1" applyAlignment="1">
      <alignment horizontal="right" vertical="center"/>
    </xf>
    <xf numFmtId="167" fontId="13" fillId="5" borderId="1" xfId="0" applyNumberFormat="1" applyFont="1" applyFill="1" applyBorder="1" applyAlignment="1">
      <alignment horizontal="right" vertical="center"/>
    </xf>
    <xf numFmtId="167" fontId="13" fillId="2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/>
    </xf>
    <xf numFmtId="165" fontId="26" fillId="4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167" fontId="21" fillId="5" borderId="1" xfId="0" applyNumberFormat="1" applyFont="1" applyFill="1" applyBorder="1" applyAlignment="1">
      <alignment horizontal="right" vertical="center"/>
    </xf>
    <xf numFmtId="167" fontId="21" fillId="2" borderId="1" xfId="0" applyNumberFormat="1" applyFont="1" applyFill="1" applyBorder="1" applyAlignment="1">
      <alignment horizontal="right" vertical="center"/>
    </xf>
    <xf numFmtId="167" fontId="18" fillId="5" borderId="1" xfId="0" applyNumberFormat="1" applyFont="1" applyFill="1" applyBorder="1" applyAlignment="1">
      <alignment horizontal="right" vertical="center"/>
    </xf>
    <xf numFmtId="165" fontId="27" fillId="4" borderId="1" xfId="0" applyNumberFormat="1" applyFont="1" applyFill="1" applyBorder="1" applyAlignment="1">
      <alignment horizontal="right" vertical="center"/>
    </xf>
    <xf numFmtId="167" fontId="23" fillId="5" borderId="1" xfId="0" applyNumberFormat="1" applyFont="1" applyFill="1" applyBorder="1" applyAlignment="1">
      <alignment horizontal="right" vertical="center"/>
    </xf>
    <xf numFmtId="167" fontId="3" fillId="5" borderId="1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  <xf numFmtId="165" fontId="20" fillId="4" borderId="1" xfId="0" applyNumberFormat="1" applyFont="1" applyFill="1" applyBorder="1" applyAlignment="1">
      <alignment horizontal="right" vertical="center"/>
    </xf>
    <xf numFmtId="167" fontId="25" fillId="4" borderId="1" xfId="0" applyNumberFormat="1" applyFont="1" applyFill="1" applyBorder="1"/>
    <xf numFmtId="167" fontId="28" fillId="4" borderId="1" xfId="0" applyNumberFormat="1" applyFont="1" applyFill="1" applyBorder="1"/>
    <xf numFmtId="165" fontId="24" fillId="4" borderId="1" xfId="0" applyNumberFormat="1" applyFont="1" applyFill="1" applyBorder="1"/>
    <xf numFmtId="0" fontId="29" fillId="4" borderId="1" xfId="0" applyFont="1" applyFill="1" applyBorder="1"/>
    <xf numFmtId="0" fontId="24" fillId="4" borderId="1" xfId="0" applyFont="1" applyFill="1" applyBorder="1"/>
    <xf numFmtId="0" fontId="30" fillId="5" borderId="2" xfId="0" applyFont="1" applyFill="1" applyBorder="1"/>
    <xf numFmtId="164" fontId="31" fillId="5" borderId="2" xfId="0" applyNumberFormat="1" applyFont="1" applyFill="1" applyBorder="1"/>
    <xf numFmtId="164" fontId="13" fillId="4" borderId="1" xfId="0" applyNumberFormat="1" applyFont="1" applyFill="1" applyBorder="1"/>
    <xf numFmtId="164" fontId="32" fillId="5" borderId="2" xfId="0" applyNumberFormat="1" applyFont="1" applyFill="1" applyBorder="1"/>
    <xf numFmtId="164" fontId="18" fillId="4" borderId="1" xfId="0" applyNumberFormat="1" applyFont="1" applyFill="1" applyBorder="1"/>
    <xf numFmtId="0" fontId="9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74A"/>
      <rgbColor rgb="FF800080"/>
      <rgbColor rgb="FF008080"/>
      <rgbColor rgb="FFD4B06A"/>
      <rgbColor rgb="FF888888"/>
      <rgbColor rgb="FF9999FF"/>
      <rgbColor rgb="FF555555"/>
      <rgbColor rgb="FFF6F2EB"/>
      <rgbColor rgb="FFE8F4F1"/>
      <rgbColor rgb="FF660066"/>
      <rgbColor rgb="FFFF8080"/>
      <rgbColor rgb="FF0066CC"/>
      <rgbColor rgb="FFEDE8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DF6"/>
      <rgbColor rgb="FFF0EDE6"/>
      <rgbColor rgb="FFFAF0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444444"/>
      <rgbColor rgb="FF2A7A6A"/>
      <rgbColor rgb="FF0E0E12"/>
      <rgbColor rgb="FF3A3A4A"/>
      <rgbColor rgb="FF9A3A20"/>
      <rgbColor rgb="FF993366"/>
      <rgbColor rgb="FF5A3A7A"/>
      <rgbColor rgb="FF2C2C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abSelected="1" zoomScaleNormal="100" workbookViewId="0">
      <pane ySplit="4" topLeftCell="A5" activePane="bottomLeft" state="frozen"/>
      <selection pane="bottomLeft" sqref="A1:L1"/>
    </sheetView>
  </sheetViews>
  <sheetFormatPr baseColWidth="10" defaultColWidth="8.6640625" defaultRowHeight="15" x14ac:dyDescent="0.2"/>
  <cols>
    <col min="1" max="1" width="36" customWidth="1"/>
    <col min="2" max="12" width="16" customWidth="1"/>
  </cols>
  <sheetData>
    <row r="1" spans="1:12" ht="36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8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">
      <c r="A4" s="1" t="s">
        <v>2</v>
      </c>
      <c r="B4" s="1"/>
      <c r="C4" s="1"/>
      <c r="D4" s="1"/>
    </row>
    <row r="5" spans="1:12" x14ac:dyDescent="0.2">
      <c r="A5" s="4" t="s">
        <v>3</v>
      </c>
      <c r="B5" s="4" t="s">
        <v>4</v>
      </c>
      <c r="C5" s="4" t="s">
        <v>5</v>
      </c>
      <c r="D5" s="4" t="s">
        <v>6</v>
      </c>
    </row>
    <row r="6" spans="1:12" x14ac:dyDescent="0.2">
      <c r="A6" s="5" t="s">
        <v>7</v>
      </c>
      <c r="B6" s="6">
        <v>4560000</v>
      </c>
      <c r="C6" s="7" t="s">
        <v>8</v>
      </c>
      <c r="D6" s="8" t="s">
        <v>9</v>
      </c>
    </row>
    <row r="7" spans="1:12" x14ac:dyDescent="0.2">
      <c r="A7" s="5" t="s">
        <v>10</v>
      </c>
      <c r="B7" s="6">
        <v>1995000</v>
      </c>
      <c r="C7" s="7" t="s">
        <v>11</v>
      </c>
      <c r="D7" s="8" t="s">
        <v>12</v>
      </c>
    </row>
    <row r="8" spans="1:12" x14ac:dyDescent="0.2">
      <c r="A8" s="5" t="s">
        <v>13</v>
      </c>
      <c r="B8" s="6">
        <v>7980000</v>
      </c>
      <c r="C8" s="7" t="s">
        <v>14</v>
      </c>
      <c r="D8" s="8" t="s">
        <v>15</v>
      </c>
    </row>
    <row r="9" spans="1:12" x14ac:dyDescent="0.2">
      <c r="A9" s="5" t="s">
        <v>16</v>
      </c>
      <c r="B9" s="6">
        <v>3420000</v>
      </c>
      <c r="C9" s="7" t="s">
        <v>17</v>
      </c>
      <c r="D9" s="8" t="s">
        <v>12</v>
      </c>
    </row>
    <row r="10" spans="1:12" x14ac:dyDescent="0.2">
      <c r="A10" s="5" t="s">
        <v>18</v>
      </c>
      <c r="B10" s="6">
        <v>5130000</v>
      </c>
      <c r="C10" s="7" t="s">
        <v>19</v>
      </c>
      <c r="D10" s="8" t="s">
        <v>20</v>
      </c>
    </row>
    <row r="11" spans="1:12" x14ac:dyDescent="0.2">
      <c r="A11" s="5" t="s">
        <v>21</v>
      </c>
      <c r="B11" s="6">
        <v>2280000</v>
      </c>
      <c r="C11" s="7" t="s">
        <v>22</v>
      </c>
      <c r="D11" s="8" t="s">
        <v>23</v>
      </c>
    </row>
    <row r="12" spans="1:12" x14ac:dyDescent="0.2">
      <c r="A12" s="5" t="s">
        <v>24</v>
      </c>
      <c r="B12" s="6">
        <v>6500000</v>
      </c>
      <c r="C12" s="7" t="s">
        <v>25</v>
      </c>
      <c r="D12" s="8" t="s">
        <v>26</v>
      </c>
    </row>
    <row r="14" spans="1:12" x14ac:dyDescent="0.2">
      <c r="A14" s="1" t="s">
        <v>27</v>
      </c>
      <c r="B14" s="1"/>
      <c r="C14" s="1"/>
      <c r="D14" s="1"/>
    </row>
    <row r="15" spans="1:12" x14ac:dyDescent="0.2">
      <c r="A15" s="5" t="s">
        <v>28</v>
      </c>
      <c r="B15" s="9">
        <v>0.4</v>
      </c>
      <c r="C15" s="10"/>
      <c r="D15" s="10"/>
    </row>
    <row r="16" spans="1:12" x14ac:dyDescent="0.2">
      <c r="A16" s="5" t="s">
        <v>29</v>
      </c>
      <c r="B16" s="9">
        <v>0.4</v>
      </c>
      <c r="C16" s="10"/>
      <c r="D16" s="10"/>
    </row>
    <row r="17" spans="1:6" x14ac:dyDescent="0.2">
      <c r="A17" s="5" t="s">
        <v>30</v>
      </c>
      <c r="B17" s="9">
        <v>0.2</v>
      </c>
      <c r="C17" s="10"/>
      <c r="D17" s="10"/>
    </row>
    <row r="18" spans="1:6" x14ac:dyDescent="0.2">
      <c r="A18" s="5" t="s">
        <v>31</v>
      </c>
      <c r="B18" s="9">
        <v>0.75</v>
      </c>
      <c r="C18" s="10"/>
      <c r="D18" s="10"/>
    </row>
    <row r="19" spans="1:6" x14ac:dyDescent="0.2">
      <c r="A19" s="5" t="s">
        <v>32</v>
      </c>
      <c r="B19" s="9">
        <v>0.2</v>
      </c>
      <c r="C19" s="10"/>
      <c r="D19" s="10"/>
    </row>
    <row r="20" spans="1:6" x14ac:dyDescent="0.2">
      <c r="A20" s="5" t="s">
        <v>33</v>
      </c>
      <c r="B20" s="11">
        <v>0.5</v>
      </c>
      <c r="C20" s="10"/>
      <c r="D20" s="10"/>
    </row>
    <row r="21" spans="1:6" x14ac:dyDescent="0.2">
      <c r="A21" s="5" t="s">
        <v>34</v>
      </c>
      <c r="B21" s="12">
        <v>25</v>
      </c>
      <c r="C21" s="10"/>
      <c r="D21" s="10"/>
    </row>
    <row r="22" spans="1:6" x14ac:dyDescent="0.2">
      <c r="A22" s="5" t="s">
        <v>35</v>
      </c>
      <c r="B22" s="12">
        <v>950</v>
      </c>
      <c r="C22" s="10"/>
      <c r="D22" s="10"/>
    </row>
    <row r="24" spans="1:6" x14ac:dyDescent="0.2">
      <c r="A24" s="1" t="s">
        <v>36</v>
      </c>
      <c r="B24" s="1"/>
      <c r="C24" s="1"/>
      <c r="D24" s="1"/>
      <c r="E24" s="1"/>
      <c r="F24" s="1"/>
    </row>
    <row r="25" spans="1:6" ht="27.75" customHeight="1" x14ac:dyDescent="0.2">
      <c r="A25" s="13" t="s">
        <v>37</v>
      </c>
      <c r="B25" s="13" t="s">
        <v>38</v>
      </c>
      <c r="C25" s="13" t="s">
        <v>39</v>
      </c>
      <c r="D25" s="13" t="s">
        <v>40</v>
      </c>
      <c r="E25" s="13" t="s">
        <v>41</v>
      </c>
      <c r="F25" s="13" t="s">
        <v>42</v>
      </c>
    </row>
    <row r="26" spans="1:6" x14ac:dyDescent="0.2">
      <c r="A26" s="5" t="s">
        <v>43</v>
      </c>
      <c r="B26" s="14">
        <v>85000</v>
      </c>
      <c r="C26" s="15">
        <v>6.5</v>
      </c>
      <c r="D26" s="16">
        <f t="shared" ref="D26:D32" si="0">B26*C26</f>
        <v>552500</v>
      </c>
      <c r="E26" s="8" t="s">
        <v>44</v>
      </c>
      <c r="F26" s="14">
        <v>4500000</v>
      </c>
    </row>
    <row r="27" spans="1:6" x14ac:dyDescent="0.2">
      <c r="A27" s="5" t="s">
        <v>45</v>
      </c>
      <c r="B27" s="14">
        <v>45000</v>
      </c>
      <c r="C27" s="15">
        <v>3</v>
      </c>
      <c r="D27" s="16">
        <f t="shared" si="0"/>
        <v>135000</v>
      </c>
      <c r="E27" s="8" t="s">
        <v>46</v>
      </c>
      <c r="F27" s="14">
        <v>1800000</v>
      </c>
    </row>
    <row r="28" spans="1:6" x14ac:dyDescent="0.2">
      <c r="A28" s="5" t="s">
        <v>47</v>
      </c>
      <c r="B28" s="14">
        <v>55000</v>
      </c>
      <c r="C28" s="15">
        <v>2.5</v>
      </c>
      <c r="D28" s="16">
        <f t="shared" si="0"/>
        <v>137500</v>
      </c>
      <c r="E28" s="8" t="s">
        <v>46</v>
      </c>
      <c r="F28" s="14">
        <v>2200000</v>
      </c>
    </row>
    <row r="29" spans="1:6" x14ac:dyDescent="0.2">
      <c r="A29" s="5" t="s">
        <v>48</v>
      </c>
      <c r="B29" s="14">
        <v>45000</v>
      </c>
      <c r="C29" s="15">
        <v>2</v>
      </c>
      <c r="D29" s="16">
        <f t="shared" si="0"/>
        <v>90000</v>
      </c>
      <c r="E29" s="8" t="s">
        <v>49</v>
      </c>
      <c r="F29" s="14">
        <v>1600000</v>
      </c>
    </row>
    <row r="30" spans="1:6" x14ac:dyDescent="0.2">
      <c r="A30" s="5" t="s">
        <v>50</v>
      </c>
      <c r="B30" s="14">
        <v>50000</v>
      </c>
      <c r="C30" s="15">
        <v>3.5</v>
      </c>
      <c r="D30" s="16">
        <f t="shared" si="0"/>
        <v>175000</v>
      </c>
      <c r="E30" s="8" t="s">
        <v>46</v>
      </c>
      <c r="F30" s="14">
        <v>2000000</v>
      </c>
    </row>
    <row r="31" spans="1:6" x14ac:dyDescent="0.2">
      <c r="A31" s="5" t="s">
        <v>51</v>
      </c>
      <c r="B31" s="14">
        <v>45000</v>
      </c>
      <c r="C31" s="15">
        <v>1.5</v>
      </c>
      <c r="D31" s="16">
        <f t="shared" si="0"/>
        <v>67500</v>
      </c>
      <c r="E31" s="8" t="s">
        <v>52</v>
      </c>
      <c r="F31" s="14">
        <v>1400000</v>
      </c>
    </row>
    <row r="32" spans="1:6" x14ac:dyDescent="0.2">
      <c r="A32" s="5" t="s">
        <v>53</v>
      </c>
      <c r="B32" s="14">
        <v>40000</v>
      </c>
      <c r="C32" s="15">
        <v>4</v>
      </c>
      <c r="D32" s="16">
        <f t="shared" si="0"/>
        <v>160000</v>
      </c>
      <c r="E32" s="8" t="s">
        <v>44</v>
      </c>
      <c r="F32" s="14">
        <v>1500000</v>
      </c>
    </row>
    <row r="33" spans="1:6" x14ac:dyDescent="0.2">
      <c r="A33" s="17" t="s">
        <v>54</v>
      </c>
      <c r="B33" s="18"/>
      <c r="C33" s="19">
        <f>SUM(C26:C32)</f>
        <v>23</v>
      </c>
      <c r="D33" s="20">
        <f>SUM(D26:D32)</f>
        <v>1317500</v>
      </c>
      <c r="E33" s="18"/>
      <c r="F33" s="18"/>
    </row>
    <row r="35" spans="1:6" x14ac:dyDescent="0.2">
      <c r="A35" s="1" t="s">
        <v>55</v>
      </c>
      <c r="B35" s="1"/>
      <c r="C35" s="1"/>
      <c r="D35" s="1"/>
    </row>
    <row r="36" spans="1:6" x14ac:dyDescent="0.2">
      <c r="A36" s="5" t="s">
        <v>56</v>
      </c>
      <c r="B36" s="14">
        <v>1200000</v>
      </c>
      <c r="C36" s="10"/>
      <c r="D36" s="10"/>
    </row>
    <row r="37" spans="1:6" x14ac:dyDescent="0.2">
      <c r="A37" s="5" t="s">
        <v>57</v>
      </c>
      <c r="B37" s="14">
        <v>350000</v>
      </c>
      <c r="C37" s="10"/>
      <c r="D37" s="10"/>
    </row>
    <row r="38" spans="1:6" x14ac:dyDescent="0.2">
      <c r="A38" s="5" t="s">
        <v>58</v>
      </c>
      <c r="B38" s="14">
        <v>500000</v>
      </c>
      <c r="C38" s="10"/>
      <c r="D38" s="10"/>
    </row>
    <row r="39" spans="1:6" x14ac:dyDescent="0.2">
      <c r="A39" s="5" t="s">
        <v>59</v>
      </c>
      <c r="B39" s="14">
        <v>250000</v>
      </c>
      <c r="C39" s="10"/>
      <c r="D39" s="10"/>
    </row>
    <row r="40" spans="1:6" x14ac:dyDescent="0.2">
      <c r="A40" s="5" t="s">
        <v>60</v>
      </c>
      <c r="B40" s="14">
        <v>150000</v>
      </c>
      <c r="C40" s="10"/>
      <c r="D40" s="10"/>
    </row>
    <row r="41" spans="1:6" x14ac:dyDescent="0.2">
      <c r="A41" s="17" t="s">
        <v>61</v>
      </c>
      <c r="B41" s="20">
        <f>SUM(B36:B40)</f>
        <v>2450000</v>
      </c>
    </row>
  </sheetData>
  <mergeCells count="6">
    <mergeCell ref="A35:D35"/>
    <mergeCell ref="A1:L1"/>
    <mergeCell ref="A2:L2"/>
    <mergeCell ref="A4:D4"/>
    <mergeCell ref="A14:D14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36" customWidth="1"/>
    <col min="2" max="2" width="4" customWidth="1"/>
    <col min="3" max="16" width="11" customWidth="1"/>
  </cols>
  <sheetData>
    <row r="1" spans="1:16" ht="36" customHeight="1" x14ac:dyDescent="0.2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ht="21.75" customHeight="1" x14ac:dyDescent="0.2">
      <c r="A4" s="21" t="s">
        <v>64</v>
      </c>
      <c r="B4" s="22"/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71</v>
      </c>
      <c r="J4" s="4" t="s">
        <v>72</v>
      </c>
      <c r="K4" s="4" t="s">
        <v>73</v>
      </c>
      <c r="L4" s="4" t="s">
        <v>74</v>
      </c>
      <c r="M4" s="4" t="s">
        <v>75</v>
      </c>
      <c r="N4" s="4" t="s">
        <v>76</v>
      </c>
      <c r="O4" s="23" t="s">
        <v>77</v>
      </c>
    </row>
    <row r="5" spans="1:16" ht="18" customHeight="1" x14ac:dyDescent="0.2">
      <c r="A5" s="24" t="s">
        <v>78</v>
      </c>
      <c r="C5" s="25">
        <v>5</v>
      </c>
      <c r="D5" s="25">
        <v>6</v>
      </c>
      <c r="E5" s="25">
        <v>8</v>
      </c>
      <c r="F5" s="25">
        <v>9</v>
      </c>
      <c r="G5" s="25">
        <v>11</v>
      </c>
      <c r="H5" s="25">
        <v>12</v>
      </c>
      <c r="I5" s="25">
        <v>13</v>
      </c>
      <c r="J5" s="25">
        <v>15</v>
      </c>
      <c r="K5" s="25">
        <v>16</v>
      </c>
      <c r="L5" s="25">
        <v>18</v>
      </c>
      <c r="M5" s="25">
        <v>19</v>
      </c>
      <c r="N5" s="25">
        <v>20</v>
      </c>
      <c r="O5" s="26" t="s">
        <v>79</v>
      </c>
    </row>
    <row r="6" spans="1:16" ht="16.5" customHeight="1" x14ac:dyDescent="0.2">
      <c r="A6" s="27" t="s">
        <v>80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6" ht="16.5" customHeight="1" x14ac:dyDescent="0.2">
      <c r="A7" s="5" t="s">
        <v>81</v>
      </c>
      <c r="B7" s="29"/>
      <c r="C7" s="30">
        <v>32500</v>
      </c>
      <c r="D7" s="30">
        <v>13000</v>
      </c>
      <c r="E7" s="30">
        <v>13000</v>
      </c>
      <c r="F7" s="30">
        <v>13000</v>
      </c>
      <c r="G7" s="30">
        <v>13000</v>
      </c>
      <c r="H7" s="30">
        <v>13000</v>
      </c>
      <c r="I7" s="30">
        <v>13000</v>
      </c>
      <c r="J7" s="30">
        <v>13000</v>
      </c>
      <c r="K7" s="30">
        <v>13000</v>
      </c>
      <c r="L7" s="30">
        <v>13000</v>
      </c>
      <c r="M7" s="30">
        <v>13000</v>
      </c>
      <c r="N7" s="30">
        <v>13000</v>
      </c>
      <c r="O7" s="31">
        <f>SUM(C7:N7)</f>
        <v>175500</v>
      </c>
    </row>
    <row r="8" spans="1:16" ht="16.5" customHeight="1" x14ac:dyDescent="0.2">
      <c r="A8" s="5" t="s">
        <v>82</v>
      </c>
      <c r="B8" s="29"/>
      <c r="C8" s="30">
        <v>0</v>
      </c>
      <c r="D8" s="30">
        <v>0</v>
      </c>
      <c r="E8" s="30">
        <v>0</v>
      </c>
      <c r="F8" s="30">
        <v>11400</v>
      </c>
      <c r="G8" s="30">
        <v>14250</v>
      </c>
      <c r="H8" s="30">
        <v>17100</v>
      </c>
      <c r="I8" s="30">
        <v>20520</v>
      </c>
      <c r="J8" s="30">
        <v>23370</v>
      </c>
      <c r="K8" s="30">
        <v>26790</v>
      </c>
      <c r="L8" s="30">
        <v>29640</v>
      </c>
      <c r="M8" s="30">
        <v>32490</v>
      </c>
      <c r="N8" s="30">
        <v>35340</v>
      </c>
      <c r="O8" s="31">
        <f>SUM(C8:N8)</f>
        <v>210900</v>
      </c>
    </row>
    <row r="9" spans="1:16" ht="16.5" customHeight="1" x14ac:dyDescent="0.2">
      <c r="A9" s="5" t="s">
        <v>83</v>
      </c>
      <c r="B9" s="29"/>
      <c r="C9" s="30">
        <v>275</v>
      </c>
      <c r="D9" s="30">
        <v>330</v>
      </c>
      <c r="E9" s="30">
        <v>440</v>
      </c>
      <c r="F9" s="30">
        <v>495</v>
      </c>
      <c r="G9" s="30">
        <v>605</v>
      </c>
      <c r="H9" s="30">
        <v>660</v>
      </c>
      <c r="I9" s="30">
        <v>715</v>
      </c>
      <c r="J9" s="30">
        <v>825</v>
      </c>
      <c r="K9" s="30">
        <v>880</v>
      </c>
      <c r="L9" s="30">
        <v>990</v>
      </c>
      <c r="M9" s="30">
        <v>1045</v>
      </c>
      <c r="N9" s="30">
        <v>1100</v>
      </c>
      <c r="O9" s="31">
        <f>SUM(C9:N9)</f>
        <v>8360</v>
      </c>
    </row>
    <row r="10" spans="1:16" ht="16.5" customHeight="1" x14ac:dyDescent="0.2">
      <c r="A10" s="5" t="s">
        <v>84</v>
      </c>
      <c r="B10" s="29"/>
      <c r="C10" s="30">
        <v>190</v>
      </c>
      <c r="D10" s="30">
        <v>228</v>
      </c>
      <c r="E10" s="30">
        <v>304</v>
      </c>
      <c r="F10" s="30">
        <v>342</v>
      </c>
      <c r="G10" s="30">
        <v>418</v>
      </c>
      <c r="H10" s="30">
        <v>456</v>
      </c>
      <c r="I10" s="30">
        <v>494</v>
      </c>
      <c r="J10" s="30">
        <v>570</v>
      </c>
      <c r="K10" s="30">
        <v>608</v>
      </c>
      <c r="L10" s="30">
        <v>684</v>
      </c>
      <c r="M10" s="30">
        <v>722</v>
      </c>
      <c r="N10" s="30">
        <v>760</v>
      </c>
      <c r="O10" s="31">
        <f>SUM(C10:N10)</f>
        <v>5776</v>
      </c>
    </row>
    <row r="11" spans="1:16" ht="16.5" customHeight="1" x14ac:dyDescent="0.2">
      <c r="A11" s="32" t="s">
        <v>85</v>
      </c>
      <c r="B11" s="33"/>
      <c r="C11" s="34">
        <v>32965</v>
      </c>
      <c r="D11" s="34">
        <v>13558</v>
      </c>
      <c r="E11" s="34">
        <v>13744</v>
      </c>
      <c r="F11" s="34">
        <v>25237</v>
      </c>
      <c r="G11" s="34">
        <v>28273</v>
      </c>
      <c r="H11" s="34">
        <v>31216</v>
      </c>
      <c r="I11" s="34">
        <v>34729</v>
      </c>
      <c r="J11" s="34">
        <v>37765</v>
      </c>
      <c r="K11" s="34">
        <v>41278</v>
      </c>
      <c r="L11" s="34">
        <v>44314</v>
      </c>
      <c r="M11" s="34">
        <v>47257</v>
      </c>
      <c r="N11" s="34">
        <v>50200</v>
      </c>
      <c r="O11" s="35">
        <f>SUM(C11:N11)</f>
        <v>400536</v>
      </c>
    </row>
    <row r="12" spans="1:16" ht="16.5" customHeight="1" x14ac:dyDescent="0.2">
      <c r="A12" s="27" t="s">
        <v>86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6" ht="16.5" customHeight="1" x14ac:dyDescent="0.2">
      <c r="A13" s="5" t="s">
        <v>87</v>
      </c>
      <c r="B13" s="29"/>
      <c r="C13" s="30">
        <v>6588</v>
      </c>
      <c r="D13" s="30">
        <v>7905</v>
      </c>
      <c r="E13" s="30">
        <v>10540</v>
      </c>
      <c r="F13" s="30">
        <v>11858</v>
      </c>
      <c r="G13" s="30">
        <v>14493</v>
      </c>
      <c r="H13" s="30">
        <v>15810</v>
      </c>
      <c r="I13" s="30">
        <v>17128</v>
      </c>
      <c r="J13" s="30">
        <v>19763</v>
      </c>
      <c r="K13" s="30">
        <v>21080</v>
      </c>
      <c r="L13" s="30">
        <v>23715</v>
      </c>
      <c r="M13" s="30">
        <v>25033</v>
      </c>
      <c r="N13" s="30">
        <v>26350</v>
      </c>
      <c r="O13" s="31">
        <f t="shared" ref="O13:O18" si="0">SUM(C13:N13)</f>
        <v>200263</v>
      </c>
    </row>
    <row r="14" spans="1:16" ht="16.5" customHeight="1" x14ac:dyDescent="0.2">
      <c r="A14" s="5" t="s">
        <v>88</v>
      </c>
      <c r="B14" s="29"/>
      <c r="C14" s="30">
        <v>600</v>
      </c>
      <c r="D14" s="30">
        <v>720</v>
      </c>
      <c r="E14" s="30">
        <v>960</v>
      </c>
      <c r="F14" s="30">
        <v>1080</v>
      </c>
      <c r="G14" s="30">
        <v>1320</v>
      </c>
      <c r="H14" s="30">
        <v>1440</v>
      </c>
      <c r="I14" s="30">
        <v>1560</v>
      </c>
      <c r="J14" s="30">
        <v>1800</v>
      </c>
      <c r="K14" s="30">
        <v>1920</v>
      </c>
      <c r="L14" s="30">
        <v>2160</v>
      </c>
      <c r="M14" s="30">
        <v>2280</v>
      </c>
      <c r="N14" s="30">
        <v>2400</v>
      </c>
      <c r="O14" s="31">
        <f t="shared" si="0"/>
        <v>18240</v>
      </c>
    </row>
    <row r="15" spans="1:16" ht="16.5" customHeight="1" x14ac:dyDescent="0.2">
      <c r="A15" s="5" t="s">
        <v>89</v>
      </c>
      <c r="B15" s="29"/>
      <c r="C15" s="30">
        <v>475</v>
      </c>
      <c r="D15" s="30">
        <v>570</v>
      </c>
      <c r="E15" s="30">
        <v>760</v>
      </c>
      <c r="F15" s="30">
        <v>855</v>
      </c>
      <c r="G15" s="30">
        <v>1045</v>
      </c>
      <c r="H15" s="30">
        <v>1140</v>
      </c>
      <c r="I15" s="30">
        <v>1235</v>
      </c>
      <c r="J15" s="30">
        <v>1425</v>
      </c>
      <c r="K15" s="30">
        <v>1520</v>
      </c>
      <c r="L15" s="30">
        <v>1710</v>
      </c>
      <c r="M15" s="30">
        <v>1805</v>
      </c>
      <c r="N15" s="30">
        <v>1900</v>
      </c>
      <c r="O15" s="31">
        <f t="shared" si="0"/>
        <v>14440</v>
      </c>
    </row>
    <row r="16" spans="1:16" ht="16.5" customHeight="1" x14ac:dyDescent="0.2">
      <c r="A16" s="5" t="s">
        <v>90</v>
      </c>
      <c r="B16" s="29"/>
      <c r="C16" s="30">
        <v>90</v>
      </c>
      <c r="D16" s="30">
        <v>108</v>
      </c>
      <c r="E16" s="30">
        <v>144</v>
      </c>
      <c r="F16" s="30">
        <v>162</v>
      </c>
      <c r="G16" s="30">
        <v>198</v>
      </c>
      <c r="H16" s="30">
        <v>216</v>
      </c>
      <c r="I16" s="30">
        <v>234</v>
      </c>
      <c r="J16" s="30">
        <v>270</v>
      </c>
      <c r="K16" s="30">
        <v>288</v>
      </c>
      <c r="L16" s="30">
        <v>324</v>
      </c>
      <c r="M16" s="30">
        <v>342</v>
      </c>
      <c r="N16" s="30">
        <v>360</v>
      </c>
      <c r="O16" s="31">
        <f t="shared" si="0"/>
        <v>2736</v>
      </c>
    </row>
    <row r="17" spans="1:15" ht="16.5" customHeight="1" x14ac:dyDescent="0.2">
      <c r="A17" s="36" t="s">
        <v>91</v>
      </c>
      <c r="B17" s="37"/>
      <c r="C17" s="38">
        <v>7753</v>
      </c>
      <c r="D17" s="38">
        <v>9303</v>
      </c>
      <c r="E17" s="38">
        <v>12404</v>
      </c>
      <c r="F17" s="38">
        <v>13955</v>
      </c>
      <c r="G17" s="38">
        <v>17056</v>
      </c>
      <c r="H17" s="38">
        <v>18606</v>
      </c>
      <c r="I17" s="38">
        <v>20157</v>
      </c>
      <c r="J17" s="38">
        <v>23258</v>
      </c>
      <c r="K17" s="38">
        <v>24808</v>
      </c>
      <c r="L17" s="38">
        <v>27909</v>
      </c>
      <c r="M17" s="38">
        <v>29460</v>
      </c>
      <c r="N17" s="38">
        <v>31010</v>
      </c>
      <c r="O17" s="35">
        <f t="shared" si="0"/>
        <v>235679</v>
      </c>
    </row>
    <row r="18" spans="1:15" ht="16.5" customHeight="1" x14ac:dyDescent="0.2">
      <c r="A18" s="32" t="s">
        <v>92</v>
      </c>
      <c r="B18" s="33"/>
      <c r="C18" s="34">
        <v>25212</v>
      </c>
      <c r="D18" s="34">
        <v>4255</v>
      </c>
      <c r="E18" s="34">
        <v>1340</v>
      </c>
      <c r="F18" s="34">
        <v>11282</v>
      </c>
      <c r="G18" s="34">
        <v>11217</v>
      </c>
      <c r="H18" s="34">
        <v>12610</v>
      </c>
      <c r="I18" s="34">
        <v>14572</v>
      </c>
      <c r="J18" s="34">
        <v>14507</v>
      </c>
      <c r="K18" s="34">
        <v>16470</v>
      </c>
      <c r="L18" s="34">
        <v>16405</v>
      </c>
      <c r="M18" s="34">
        <v>17797</v>
      </c>
      <c r="N18" s="34">
        <v>19190</v>
      </c>
      <c r="O18" s="35">
        <f t="shared" si="0"/>
        <v>164857</v>
      </c>
    </row>
    <row r="19" spans="1:15" ht="16.5" customHeight="1" x14ac:dyDescent="0.2">
      <c r="A19" s="39" t="s">
        <v>93</v>
      </c>
      <c r="B19" s="29"/>
      <c r="C19" s="40">
        <v>0.76481116335507404</v>
      </c>
      <c r="D19" s="40">
        <v>0.31383684909278697</v>
      </c>
      <c r="E19" s="40">
        <v>9.7497089639115297E-2</v>
      </c>
      <c r="F19" s="40">
        <v>0.44704204144708198</v>
      </c>
      <c r="G19" s="40">
        <v>0.39673893820959899</v>
      </c>
      <c r="H19" s="40">
        <v>0.40395950794464403</v>
      </c>
      <c r="I19" s="40">
        <v>0.41959169570099902</v>
      </c>
      <c r="J19" s="40">
        <v>0.384138752813452</v>
      </c>
      <c r="K19" s="40">
        <v>0.39900188962643501</v>
      </c>
      <c r="L19" s="40">
        <v>0.370199034165275</v>
      </c>
      <c r="M19" s="40">
        <v>0.37660029202022999</v>
      </c>
      <c r="N19" s="40">
        <v>0.38227091633466098</v>
      </c>
      <c r="O19" s="41">
        <f>AVERAGE(C19:N19)</f>
        <v>0.39630734752911273</v>
      </c>
    </row>
    <row r="20" spans="1:15" ht="16.5" customHeight="1" x14ac:dyDescent="0.2">
      <c r="A20" s="27" t="s">
        <v>94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1:15" ht="16.5" customHeight="1" x14ac:dyDescent="0.2">
      <c r="A21" s="5" t="s">
        <v>95</v>
      </c>
      <c r="B21" s="29"/>
      <c r="C21" s="30">
        <v>1200</v>
      </c>
      <c r="D21" s="30">
        <v>1200</v>
      </c>
      <c r="E21" s="30">
        <v>1200</v>
      </c>
      <c r="F21" s="30">
        <v>1200</v>
      </c>
      <c r="G21" s="30">
        <v>1200</v>
      </c>
      <c r="H21" s="30">
        <v>1200</v>
      </c>
      <c r="I21" s="30">
        <v>1200</v>
      </c>
      <c r="J21" s="30">
        <v>1200</v>
      </c>
      <c r="K21" s="30">
        <v>1200</v>
      </c>
      <c r="L21" s="30">
        <v>1200</v>
      </c>
      <c r="M21" s="30">
        <v>1200</v>
      </c>
      <c r="N21" s="30">
        <v>1200</v>
      </c>
      <c r="O21" s="31">
        <f t="shared" ref="O21:O27" si="1">SUM(C21:N21)</f>
        <v>14400</v>
      </c>
    </row>
    <row r="22" spans="1:15" ht="16.5" customHeight="1" x14ac:dyDescent="0.2">
      <c r="A22" s="5" t="s">
        <v>96</v>
      </c>
      <c r="B22" s="29"/>
      <c r="C22" s="30">
        <v>350</v>
      </c>
      <c r="D22" s="30">
        <v>350</v>
      </c>
      <c r="E22" s="30">
        <v>350</v>
      </c>
      <c r="F22" s="30">
        <v>350</v>
      </c>
      <c r="G22" s="30">
        <v>350</v>
      </c>
      <c r="H22" s="30">
        <v>350</v>
      </c>
      <c r="I22" s="30">
        <v>350</v>
      </c>
      <c r="J22" s="30">
        <v>350</v>
      </c>
      <c r="K22" s="30">
        <v>350</v>
      </c>
      <c r="L22" s="30">
        <v>350</v>
      </c>
      <c r="M22" s="30">
        <v>350</v>
      </c>
      <c r="N22" s="30">
        <v>350</v>
      </c>
      <c r="O22" s="31">
        <f t="shared" si="1"/>
        <v>4200</v>
      </c>
    </row>
    <row r="23" spans="1:15" ht="16.5" customHeight="1" x14ac:dyDescent="0.2">
      <c r="A23" s="5" t="s">
        <v>97</v>
      </c>
      <c r="B23" s="29"/>
      <c r="C23" s="30">
        <v>800</v>
      </c>
      <c r="D23" s="30">
        <v>600</v>
      </c>
      <c r="E23" s="30">
        <v>600</v>
      </c>
      <c r="F23" s="30">
        <v>500</v>
      </c>
      <c r="G23" s="30">
        <v>500</v>
      </c>
      <c r="H23" s="30">
        <v>500</v>
      </c>
      <c r="I23" s="30">
        <v>500</v>
      </c>
      <c r="J23" s="30">
        <v>500</v>
      </c>
      <c r="K23" s="30">
        <v>500</v>
      </c>
      <c r="L23" s="30">
        <v>500</v>
      </c>
      <c r="M23" s="30">
        <v>500</v>
      </c>
      <c r="N23" s="30">
        <v>500</v>
      </c>
      <c r="O23" s="31">
        <f t="shared" si="1"/>
        <v>6500</v>
      </c>
    </row>
    <row r="24" spans="1:15" ht="16.5" customHeight="1" x14ac:dyDescent="0.2">
      <c r="A24" s="5" t="s">
        <v>98</v>
      </c>
      <c r="B24" s="29"/>
      <c r="C24" s="30">
        <v>400</v>
      </c>
      <c r="D24" s="30">
        <v>250</v>
      </c>
      <c r="E24" s="30">
        <v>250</v>
      </c>
      <c r="F24" s="30">
        <v>250</v>
      </c>
      <c r="G24" s="30">
        <v>250</v>
      </c>
      <c r="H24" s="30">
        <v>250</v>
      </c>
      <c r="I24" s="30">
        <v>250</v>
      </c>
      <c r="J24" s="30">
        <v>250</v>
      </c>
      <c r="K24" s="30">
        <v>250</v>
      </c>
      <c r="L24" s="30">
        <v>250</v>
      </c>
      <c r="M24" s="30">
        <v>250</v>
      </c>
      <c r="N24" s="30">
        <v>250</v>
      </c>
      <c r="O24" s="31">
        <f t="shared" si="1"/>
        <v>3150</v>
      </c>
    </row>
    <row r="25" spans="1:15" ht="16.5" customHeight="1" x14ac:dyDescent="0.2">
      <c r="A25" s="5" t="s">
        <v>99</v>
      </c>
      <c r="B25" s="29"/>
      <c r="C25" s="30">
        <v>150</v>
      </c>
      <c r="D25" s="30">
        <v>150</v>
      </c>
      <c r="E25" s="30">
        <v>150</v>
      </c>
      <c r="F25" s="30">
        <v>150</v>
      </c>
      <c r="G25" s="30">
        <v>150</v>
      </c>
      <c r="H25" s="30">
        <v>150</v>
      </c>
      <c r="I25" s="30">
        <v>150</v>
      </c>
      <c r="J25" s="30">
        <v>150</v>
      </c>
      <c r="K25" s="30">
        <v>150</v>
      </c>
      <c r="L25" s="30">
        <v>150</v>
      </c>
      <c r="M25" s="30">
        <v>150</v>
      </c>
      <c r="N25" s="30">
        <v>150</v>
      </c>
      <c r="O25" s="31">
        <f t="shared" si="1"/>
        <v>1800</v>
      </c>
    </row>
    <row r="26" spans="1:15" ht="16.5" customHeight="1" x14ac:dyDescent="0.2">
      <c r="A26" s="42" t="s">
        <v>100</v>
      </c>
      <c r="B26" s="43"/>
      <c r="C26" s="44">
        <v>2900</v>
      </c>
      <c r="D26" s="44">
        <v>2550</v>
      </c>
      <c r="E26" s="44">
        <v>2550</v>
      </c>
      <c r="F26" s="44">
        <v>2450</v>
      </c>
      <c r="G26" s="44">
        <v>2450</v>
      </c>
      <c r="H26" s="44">
        <v>2450</v>
      </c>
      <c r="I26" s="44">
        <v>2450</v>
      </c>
      <c r="J26" s="44">
        <v>2450</v>
      </c>
      <c r="K26" s="44">
        <v>2450</v>
      </c>
      <c r="L26" s="44">
        <v>2450</v>
      </c>
      <c r="M26" s="44">
        <v>2450</v>
      </c>
      <c r="N26" s="44">
        <v>2450</v>
      </c>
      <c r="O26" s="35">
        <f t="shared" si="1"/>
        <v>30050</v>
      </c>
    </row>
    <row r="27" spans="1:15" ht="16.5" customHeight="1" x14ac:dyDescent="0.2">
      <c r="A27" s="45" t="s">
        <v>101</v>
      </c>
      <c r="B27" s="46"/>
      <c r="C27" s="35">
        <v>22312</v>
      </c>
      <c r="D27" s="35">
        <v>1705</v>
      </c>
      <c r="E27" s="47">
        <v>-1210</v>
      </c>
      <c r="F27" s="35">
        <v>8832</v>
      </c>
      <c r="G27" s="35">
        <v>8767</v>
      </c>
      <c r="H27" s="35">
        <v>10160</v>
      </c>
      <c r="I27" s="35">
        <v>12122</v>
      </c>
      <c r="J27" s="35">
        <v>12057</v>
      </c>
      <c r="K27" s="35">
        <v>14020</v>
      </c>
      <c r="L27" s="35">
        <v>13955</v>
      </c>
      <c r="M27" s="35">
        <v>15347</v>
      </c>
      <c r="N27" s="35">
        <v>16740</v>
      </c>
      <c r="O27" s="35">
        <f t="shared" si="1"/>
        <v>134807</v>
      </c>
    </row>
    <row r="28" spans="1:15" ht="16.5" customHeight="1" x14ac:dyDescent="0.2">
      <c r="A28" s="39" t="s">
        <v>102</v>
      </c>
      <c r="B28" s="29"/>
      <c r="C28" s="40">
        <v>0.67683907174275804</v>
      </c>
      <c r="D28" s="40">
        <v>0.12575601121109301</v>
      </c>
      <c r="E28" s="48">
        <v>-8.8038416763678698E-2</v>
      </c>
      <c r="F28" s="40">
        <v>0.349962356856996</v>
      </c>
      <c r="G28" s="40">
        <v>0.310083825557953</v>
      </c>
      <c r="H28" s="40">
        <v>0.32547411583803199</v>
      </c>
      <c r="I28" s="40">
        <v>0.34904546632497302</v>
      </c>
      <c r="J28" s="40">
        <v>0.319263868661459</v>
      </c>
      <c r="K28" s="40">
        <v>0.33964823877125799</v>
      </c>
      <c r="L28" s="40">
        <v>0.314911766033308</v>
      </c>
      <c r="M28" s="40">
        <v>0.32475612078633898</v>
      </c>
      <c r="N28" s="40">
        <v>0.333466135458167</v>
      </c>
      <c r="O28" s="41">
        <f>AVERAGE(C28:N28)</f>
        <v>0.30676404670655477</v>
      </c>
    </row>
    <row r="29" spans="1:15" ht="16.5" customHeight="1" x14ac:dyDescent="0.2">
      <c r="A29" s="5" t="s">
        <v>103</v>
      </c>
      <c r="B29" s="29"/>
      <c r="C29" s="30">
        <v>80</v>
      </c>
      <c r="D29" s="30">
        <v>80</v>
      </c>
      <c r="E29" s="30">
        <v>80</v>
      </c>
      <c r="F29" s="30">
        <v>80</v>
      </c>
      <c r="G29" s="30">
        <v>80</v>
      </c>
      <c r="H29" s="30">
        <v>80</v>
      </c>
      <c r="I29" s="30">
        <v>80</v>
      </c>
      <c r="J29" s="30">
        <v>80</v>
      </c>
      <c r="K29" s="30">
        <v>80</v>
      </c>
      <c r="L29" s="30">
        <v>80</v>
      </c>
      <c r="M29" s="30">
        <v>80</v>
      </c>
      <c r="N29" s="30">
        <v>80</v>
      </c>
      <c r="O29" s="31">
        <f>SUM(C29:N29)</f>
        <v>960</v>
      </c>
    </row>
    <row r="30" spans="1:15" ht="16.5" customHeight="1" x14ac:dyDescent="0.2">
      <c r="A30" s="49" t="s">
        <v>104</v>
      </c>
      <c r="B30" s="50"/>
      <c r="C30" s="51">
        <v>22232</v>
      </c>
      <c r="D30" s="51">
        <v>1625</v>
      </c>
      <c r="E30" s="52">
        <v>-1290</v>
      </c>
      <c r="F30" s="51">
        <v>8752</v>
      </c>
      <c r="G30" s="51">
        <v>8687</v>
      </c>
      <c r="H30" s="51">
        <v>10080</v>
      </c>
      <c r="I30" s="51">
        <v>12042</v>
      </c>
      <c r="J30" s="51">
        <v>11977</v>
      </c>
      <c r="K30" s="51">
        <v>13940</v>
      </c>
      <c r="L30" s="51">
        <v>13875</v>
      </c>
      <c r="M30" s="51">
        <v>15267</v>
      </c>
      <c r="N30" s="51">
        <v>16660</v>
      </c>
      <c r="O30" s="51">
        <f>SUM(C30:N30)</f>
        <v>133847</v>
      </c>
    </row>
    <row r="31" spans="1:15" ht="16.5" customHeight="1" x14ac:dyDescent="0.2">
      <c r="A31" s="5" t="s">
        <v>105</v>
      </c>
      <c r="B31" s="29"/>
      <c r="C31" s="30">
        <v>6003</v>
      </c>
      <c r="D31" s="30">
        <v>439</v>
      </c>
      <c r="E31" s="30">
        <v>0</v>
      </c>
      <c r="F31" s="30">
        <v>2363</v>
      </c>
      <c r="G31" s="30">
        <v>2345</v>
      </c>
      <c r="H31" s="30">
        <v>2722</v>
      </c>
      <c r="I31" s="30">
        <v>3251</v>
      </c>
      <c r="J31" s="30">
        <v>3234</v>
      </c>
      <c r="K31" s="30">
        <v>3764</v>
      </c>
      <c r="L31" s="30">
        <v>3746</v>
      </c>
      <c r="M31" s="30">
        <v>4122</v>
      </c>
      <c r="N31" s="30">
        <v>4498</v>
      </c>
      <c r="O31" s="31">
        <f>SUM(C31:N31)</f>
        <v>36487</v>
      </c>
    </row>
    <row r="32" spans="1:15" ht="16.5" customHeight="1" x14ac:dyDescent="0.2">
      <c r="A32" s="45" t="s">
        <v>106</v>
      </c>
      <c r="B32" s="46"/>
      <c r="C32" s="53">
        <v>16229</v>
      </c>
      <c r="D32" s="53">
        <v>1186</v>
      </c>
      <c r="E32" s="47">
        <v>-1290</v>
      </c>
      <c r="F32" s="53">
        <v>6389</v>
      </c>
      <c r="G32" s="53">
        <v>6342</v>
      </c>
      <c r="H32" s="53">
        <v>7358</v>
      </c>
      <c r="I32" s="53">
        <v>8791</v>
      </c>
      <c r="J32" s="53">
        <v>8743</v>
      </c>
      <c r="K32" s="53">
        <v>10176</v>
      </c>
      <c r="L32" s="53">
        <v>10129</v>
      </c>
      <c r="M32" s="53">
        <v>11145</v>
      </c>
      <c r="N32" s="53">
        <v>12162</v>
      </c>
      <c r="O32" s="35">
        <f>SUM(C32:N32)</f>
        <v>97360</v>
      </c>
    </row>
    <row r="33" spans="1:16" ht="16.5" customHeight="1" x14ac:dyDescent="0.2">
      <c r="A33" s="39" t="s">
        <v>107</v>
      </c>
      <c r="B33" s="29"/>
      <c r="C33" s="40">
        <v>0.492310025784923</v>
      </c>
      <c r="D33" s="40">
        <v>8.7476028912818998E-2</v>
      </c>
      <c r="E33" s="48">
        <v>-9.3859138533178094E-2</v>
      </c>
      <c r="F33" s="40">
        <v>0.25316004279430998</v>
      </c>
      <c r="G33" s="40">
        <v>0.22431294874969099</v>
      </c>
      <c r="H33" s="40">
        <v>0.23571245515120501</v>
      </c>
      <c r="I33" s="40">
        <v>0.25313138875291502</v>
      </c>
      <c r="J33" s="40">
        <v>0.231510658016682</v>
      </c>
      <c r="K33" s="40">
        <v>0.24652357187848301</v>
      </c>
      <c r="L33" s="40">
        <v>0.228573362819876</v>
      </c>
      <c r="M33" s="40">
        <v>0.23583807689866099</v>
      </c>
      <c r="N33" s="40">
        <v>0.242270916334661</v>
      </c>
      <c r="O33" s="41">
        <f>AVERAGE(C33:N33)</f>
        <v>0.21974669479675399</v>
      </c>
    </row>
    <row r="35" spans="1:16" ht="21.75" customHeight="1" x14ac:dyDescent="0.2">
      <c r="A35" s="1" t="s">
        <v>108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54" t="s">
        <v>109</v>
      </c>
      <c r="B36" s="10"/>
      <c r="C36" s="55">
        <v>400.536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6" x14ac:dyDescent="0.2">
      <c r="A37" s="54" t="s">
        <v>110</v>
      </c>
      <c r="B37" s="10"/>
      <c r="C37" s="55">
        <v>134.80699999999999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6" x14ac:dyDescent="0.2">
      <c r="A38" s="54" t="s">
        <v>111</v>
      </c>
      <c r="B38" s="10"/>
      <c r="C38" s="55">
        <v>97.36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6" x14ac:dyDescent="0.2">
      <c r="A39" s="54" t="s">
        <v>112</v>
      </c>
      <c r="B39" s="10"/>
      <c r="C39" s="56">
        <v>0.33656650088880902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6" x14ac:dyDescent="0.2">
      <c r="A40" s="54" t="s">
        <v>113</v>
      </c>
      <c r="B40" s="10"/>
      <c r="C40" s="56">
        <v>0.24307428046417801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</sheetData>
  <mergeCells count="3">
    <mergeCell ref="A1:P1"/>
    <mergeCell ref="A2:P2"/>
    <mergeCell ref="A35:P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6" customWidth="1"/>
    <col min="2" max="7" width="16" customWidth="1"/>
  </cols>
  <sheetData>
    <row r="1" spans="1:7" ht="36" customHeight="1" x14ac:dyDescent="0.2">
      <c r="A1" s="3" t="s">
        <v>114</v>
      </c>
      <c r="B1" s="3"/>
      <c r="C1" s="3"/>
      <c r="D1" s="3"/>
      <c r="E1" s="3"/>
      <c r="F1" s="3"/>
      <c r="G1" s="3"/>
    </row>
    <row r="2" spans="1:7" x14ac:dyDescent="0.2">
      <c r="A2" s="2" t="s">
        <v>115</v>
      </c>
      <c r="B2" s="2"/>
      <c r="C2" s="2"/>
      <c r="D2" s="2"/>
      <c r="E2" s="2"/>
      <c r="F2" s="2"/>
      <c r="G2" s="2"/>
    </row>
    <row r="4" spans="1:7" ht="21.75" customHeight="1" x14ac:dyDescent="0.2">
      <c r="A4" s="21" t="s">
        <v>64</v>
      </c>
      <c r="B4" s="57" t="s">
        <v>116</v>
      </c>
      <c r="C4" s="57" t="s">
        <v>117</v>
      </c>
      <c r="D4" s="57" t="s">
        <v>118</v>
      </c>
      <c r="E4" s="57" t="s">
        <v>119</v>
      </c>
      <c r="F4" s="57" t="s">
        <v>120</v>
      </c>
      <c r="G4" s="23" t="s">
        <v>121</v>
      </c>
    </row>
    <row r="5" spans="1:7" x14ac:dyDescent="0.2">
      <c r="A5" s="58" t="s">
        <v>122</v>
      </c>
      <c r="B5" s="25">
        <v>12</v>
      </c>
      <c r="C5" s="25">
        <v>28</v>
      </c>
      <c r="D5" s="25">
        <v>40</v>
      </c>
      <c r="E5" s="25">
        <v>52</v>
      </c>
      <c r="F5" s="25">
        <v>58</v>
      </c>
      <c r="G5" s="26" t="s">
        <v>79</v>
      </c>
    </row>
    <row r="6" spans="1:7" ht="16.5" customHeight="1" x14ac:dyDescent="0.2">
      <c r="A6" s="27" t="s">
        <v>80</v>
      </c>
      <c r="B6" s="28"/>
      <c r="C6" s="28"/>
      <c r="D6" s="28"/>
      <c r="E6" s="28"/>
      <c r="F6" s="28"/>
      <c r="G6" s="28"/>
    </row>
    <row r="7" spans="1:7" ht="16.5" customHeight="1" x14ac:dyDescent="0.2">
      <c r="A7" s="5" t="s">
        <v>123</v>
      </c>
      <c r="B7" s="59">
        <v>164.5</v>
      </c>
      <c r="C7" s="59">
        <v>312</v>
      </c>
      <c r="D7" s="59">
        <v>390</v>
      </c>
      <c r="E7" s="59">
        <v>468</v>
      </c>
      <c r="F7" s="59">
        <v>487.5</v>
      </c>
      <c r="G7" s="60">
        <f>SUM(B7:F7)</f>
        <v>1822</v>
      </c>
    </row>
    <row r="8" spans="1:7" ht="16.5" customHeight="1" x14ac:dyDescent="0.2">
      <c r="A8" s="5" t="s">
        <v>82</v>
      </c>
      <c r="B8" s="59">
        <v>210.9</v>
      </c>
      <c r="C8" s="59">
        <v>504</v>
      </c>
      <c r="D8" s="59">
        <v>882</v>
      </c>
      <c r="E8" s="59">
        <v>1344</v>
      </c>
      <c r="F8" s="59">
        <v>1663.2</v>
      </c>
      <c r="G8" s="60">
        <f>SUM(B8:F8)</f>
        <v>4604.1000000000004</v>
      </c>
    </row>
    <row r="9" spans="1:7" ht="16.5" customHeight="1" x14ac:dyDescent="0.2">
      <c r="A9" s="5" t="s">
        <v>124</v>
      </c>
      <c r="B9" s="59">
        <v>25.1</v>
      </c>
      <c r="C9" s="59">
        <v>42.2</v>
      </c>
      <c r="D9" s="59">
        <v>48.4</v>
      </c>
      <c r="E9" s="59">
        <v>64.8</v>
      </c>
      <c r="F9" s="59">
        <v>67.3</v>
      </c>
      <c r="G9" s="60">
        <f>SUM(B9:F9)</f>
        <v>247.8</v>
      </c>
    </row>
    <row r="10" spans="1:7" ht="16.5" customHeight="1" x14ac:dyDescent="0.2">
      <c r="A10" s="49" t="s">
        <v>85</v>
      </c>
      <c r="B10" s="61">
        <v>400.5</v>
      </c>
      <c r="C10" s="61">
        <v>858.2</v>
      </c>
      <c r="D10" s="61">
        <v>1320.4</v>
      </c>
      <c r="E10" s="61">
        <v>1876.8</v>
      </c>
      <c r="F10" s="62">
        <v>2218</v>
      </c>
      <c r="G10" s="63">
        <f>SUM(B10:F10)</f>
        <v>6673.9000000000005</v>
      </c>
    </row>
    <row r="11" spans="1:7" ht="16.5" customHeight="1" x14ac:dyDescent="0.2">
      <c r="A11" s="27" t="s">
        <v>125</v>
      </c>
      <c r="B11" s="28"/>
      <c r="C11" s="28"/>
      <c r="D11" s="28"/>
      <c r="E11" s="28"/>
      <c r="F11" s="28"/>
      <c r="G11" s="28"/>
    </row>
    <row r="12" spans="1:7" ht="16.5" customHeight="1" x14ac:dyDescent="0.2">
      <c r="A12" s="5" t="s">
        <v>126</v>
      </c>
      <c r="B12" s="59">
        <v>200.3</v>
      </c>
      <c r="C12" s="59">
        <v>374.6</v>
      </c>
      <c r="D12" s="59">
        <v>508</v>
      </c>
      <c r="E12" s="59">
        <v>665.6</v>
      </c>
      <c r="F12" s="59">
        <v>739.7</v>
      </c>
      <c r="G12" s="60">
        <f>SUM(B12:F12)</f>
        <v>2488.1999999999998</v>
      </c>
    </row>
    <row r="13" spans="1:7" ht="16.5" customHeight="1" x14ac:dyDescent="0.2">
      <c r="A13" s="5" t="s">
        <v>127</v>
      </c>
      <c r="B13" s="59">
        <v>35.4</v>
      </c>
      <c r="C13" s="59">
        <v>61.8</v>
      </c>
      <c r="D13" s="59">
        <v>86.2</v>
      </c>
      <c r="E13" s="59">
        <v>112.6</v>
      </c>
      <c r="F13" s="59">
        <v>125.3</v>
      </c>
      <c r="G13" s="60">
        <f>SUM(B13:F13)</f>
        <v>421.3</v>
      </c>
    </row>
    <row r="14" spans="1:7" ht="16.5" customHeight="1" x14ac:dyDescent="0.2">
      <c r="A14" s="49" t="s">
        <v>91</v>
      </c>
      <c r="B14" s="64">
        <v>235.7</v>
      </c>
      <c r="C14" s="64">
        <v>436.4</v>
      </c>
      <c r="D14" s="64">
        <v>594.20000000000005</v>
      </c>
      <c r="E14" s="64">
        <v>778.2</v>
      </c>
      <c r="F14" s="65">
        <v>865</v>
      </c>
      <c r="G14" s="63">
        <f>SUM(B14:F14)</f>
        <v>2909.5</v>
      </c>
    </row>
    <row r="15" spans="1:7" ht="16.5" customHeight="1" x14ac:dyDescent="0.2">
      <c r="A15" s="49" t="s">
        <v>92</v>
      </c>
      <c r="B15" s="61">
        <v>164.8</v>
      </c>
      <c r="C15" s="61">
        <v>421.8</v>
      </c>
      <c r="D15" s="61">
        <v>726.2</v>
      </c>
      <c r="E15" s="61">
        <v>1098.5999999999999</v>
      </c>
      <c r="F15" s="62">
        <v>1353</v>
      </c>
      <c r="G15" s="63">
        <f>SUM(B15:F15)</f>
        <v>3764.4</v>
      </c>
    </row>
    <row r="16" spans="1:7" ht="16.5" customHeight="1" x14ac:dyDescent="0.2">
      <c r="A16" s="66" t="s">
        <v>93</v>
      </c>
      <c r="B16" s="67">
        <v>0.41148564294631701</v>
      </c>
      <c r="C16" s="67">
        <v>0.49149382428338401</v>
      </c>
      <c r="D16" s="67">
        <v>0.54998485307482603</v>
      </c>
      <c r="E16" s="67">
        <v>0.58535805626598503</v>
      </c>
      <c r="F16" s="67">
        <v>0.61000901713255196</v>
      </c>
      <c r="G16" s="68">
        <f>AVERAGE(B16:F16)</f>
        <v>0.52966627874061278</v>
      </c>
    </row>
    <row r="17" spans="1:7" ht="16.5" customHeight="1" x14ac:dyDescent="0.2">
      <c r="A17" s="27" t="s">
        <v>94</v>
      </c>
      <c r="B17" s="28"/>
      <c r="C17" s="28"/>
      <c r="D17" s="28"/>
      <c r="E17" s="28"/>
      <c r="F17" s="28"/>
      <c r="G17" s="28"/>
    </row>
    <row r="18" spans="1:7" ht="16.5" customHeight="1" x14ac:dyDescent="0.2">
      <c r="A18" s="49" t="s">
        <v>100</v>
      </c>
      <c r="B18" s="69">
        <v>30.1</v>
      </c>
      <c r="C18" s="69">
        <v>38.4</v>
      </c>
      <c r="D18" s="69">
        <v>48.2</v>
      </c>
      <c r="E18" s="69">
        <v>58.6</v>
      </c>
      <c r="F18" s="70">
        <v>64.8</v>
      </c>
      <c r="G18" s="63">
        <f>SUM(B18:F18)</f>
        <v>240.10000000000002</v>
      </c>
    </row>
    <row r="19" spans="1:7" ht="16.5" customHeight="1" x14ac:dyDescent="0.2">
      <c r="A19" s="49" t="s">
        <v>101</v>
      </c>
      <c r="B19" s="71">
        <v>134.69999999999999</v>
      </c>
      <c r="C19" s="71">
        <v>383.4</v>
      </c>
      <c r="D19" s="71">
        <v>678</v>
      </c>
      <c r="E19" s="71">
        <v>1040</v>
      </c>
      <c r="F19" s="63">
        <v>1288.2</v>
      </c>
      <c r="G19" s="63">
        <f>SUM(B19:F19)</f>
        <v>3524.3</v>
      </c>
    </row>
    <row r="20" spans="1:7" ht="16.5" customHeight="1" x14ac:dyDescent="0.2">
      <c r="A20" s="66" t="s">
        <v>102</v>
      </c>
      <c r="B20" s="72">
        <v>0.33632958801498097</v>
      </c>
      <c r="C20" s="72">
        <v>0.446749009554882</v>
      </c>
      <c r="D20" s="72">
        <v>0.51348076340502902</v>
      </c>
      <c r="E20" s="72">
        <v>0.554134697357204</v>
      </c>
      <c r="F20" s="72">
        <v>0.58079350766456295</v>
      </c>
      <c r="G20" s="68">
        <f>AVERAGE(B20:F20)</f>
        <v>0.48629751319933179</v>
      </c>
    </row>
    <row r="21" spans="1:7" ht="16.5" customHeight="1" x14ac:dyDescent="0.2">
      <c r="A21" s="5" t="s">
        <v>128</v>
      </c>
      <c r="B21" s="59">
        <v>1</v>
      </c>
      <c r="C21" s="59">
        <v>1.2</v>
      </c>
      <c r="D21" s="59">
        <v>1.5</v>
      </c>
      <c r="E21" s="59">
        <v>1.8</v>
      </c>
      <c r="F21" s="59">
        <v>2</v>
      </c>
      <c r="G21" s="60">
        <f>SUM(B21:F21)</f>
        <v>7.5</v>
      </c>
    </row>
    <row r="22" spans="1:7" ht="16.5" customHeight="1" x14ac:dyDescent="0.2">
      <c r="A22" s="49" t="s">
        <v>104</v>
      </c>
      <c r="B22" s="73">
        <v>133.69999999999999</v>
      </c>
      <c r="C22" s="73">
        <v>382.2</v>
      </c>
      <c r="D22" s="73">
        <v>676.5</v>
      </c>
      <c r="E22" s="73">
        <v>1038.2</v>
      </c>
      <c r="F22" s="73">
        <v>1286.2</v>
      </c>
      <c r="G22" s="73">
        <f>SUM(B22:F22)</f>
        <v>3516.8</v>
      </c>
    </row>
    <row r="23" spans="1:7" ht="16.5" customHeight="1" x14ac:dyDescent="0.2">
      <c r="A23" s="5" t="s">
        <v>129</v>
      </c>
      <c r="B23" s="59">
        <v>36.1</v>
      </c>
      <c r="C23" s="59">
        <v>103.2</v>
      </c>
      <c r="D23" s="59">
        <v>182.7</v>
      </c>
      <c r="E23" s="59">
        <v>280.3</v>
      </c>
      <c r="F23" s="59">
        <v>347.3</v>
      </c>
      <c r="G23" s="60">
        <f>SUM(B23:F23)</f>
        <v>949.59999999999991</v>
      </c>
    </row>
    <row r="24" spans="1:7" ht="16.5" customHeight="1" x14ac:dyDescent="0.2">
      <c r="A24" s="49" t="s">
        <v>106</v>
      </c>
      <c r="B24" s="74">
        <v>97.6</v>
      </c>
      <c r="C24" s="74">
        <v>279</v>
      </c>
      <c r="D24" s="74">
        <v>493.8</v>
      </c>
      <c r="E24" s="74">
        <v>757.9</v>
      </c>
      <c r="F24" s="75">
        <v>938.9</v>
      </c>
      <c r="G24" s="63">
        <f>SUM(B24:F24)</f>
        <v>2567.2000000000003</v>
      </c>
    </row>
    <row r="25" spans="1:7" ht="16.5" customHeight="1" x14ac:dyDescent="0.2">
      <c r="A25" s="66" t="s">
        <v>107</v>
      </c>
      <c r="B25" s="76">
        <v>0.24369538077403299</v>
      </c>
      <c r="C25" s="76">
        <v>0.32509904451176902</v>
      </c>
      <c r="D25" s="76">
        <v>0.37397758255074198</v>
      </c>
      <c r="E25" s="76">
        <v>0.40382566069906201</v>
      </c>
      <c r="F25" s="76">
        <v>0.42330928764652798</v>
      </c>
      <c r="G25" s="68">
        <f>AVERAGE(B25:F25)</f>
        <v>0.3539813912364268</v>
      </c>
    </row>
    <row r="27" spans="1:7" ht="21.75" customHeight="1" x14ac:dyDescent="0.2">
      <c r="A27" s="1" t="s">
        <v>130</v>
      </c>
      <c r="B27" s="1"/>
      <c r="C27" s="1"/>
      <c r="D27" s="1"/>
      <c r="E27" s="1"/>
      <c r="F27" s="1"/>
      <c r="G27" s="1"/>
    </row>
    <row r="28" spans="1:7" x14ac:dyDescent="0.2">
      <c r="A28" s="54" t="s">
        <v>131</v>
      </c>
      <c r="B28" s="77">
        <v>6673.9</v>
      </c>
      <c r="C28" s="10"/>
      <c r="D28" s="10"/>
      <c r="E28" s="10"/>
      <c r="F28" s="10"/>
      <c r="G28" s="10"/>
    </row>
    <row r="29" spans="1:7" x14ac:dyDescent="0.2">
      <c r="A29" s="54" t="s">
        <v>132</v>
      </c>
      <c r="B29" s="55">
        <v>3524.3</v>
      </c>
      <c r="C29" s="10"/>
      <c r="D29" s="10"/>
      <c r="E29" s="10"/>
      <c r="F29" s="10"/>
      <c r="G29" s="10"/>
    </row>
    <row r="30" spans="1:7" x14ac:dyDescent="0.2">
      <c r="A30" s="54" t="s">
        <v>133</v>
      </c>
      <c r="B30" s="78">
        <v>2567.1999999999998</v>
      </c>
      <c r="C30" s="10"/>
      <c r="D30" s="10"/>
      <c r="E30" s="10"/>
      <c r="F30" s="10"/>
      <c r="G30" s="10"/>
    </row>
    <row r="31" spans="1:7" x14ac:dyDescent="0.2">
      <c r="A31" s="54" t="s">
        <v>134</v>
      </c>
      <c r="B31" s="79">
        <v>0.52807204183460998</v>
      </c>
      <c r="C31" s="10"/>
      <c r="D31" s="10"/>
      <c r="E31" s="10"/>
      <c r="F31" s="10"/>
      <c r="G31" s="10"/>
    </row>
    <row r="32" spans="1:7" x14ac:dyDescent="0.2">
      <c r="A32" s="54" t="s">
        <v>135</v>
      </c>
      <c r="B32" s="56">
        <v>0.384662641034478</v>
      </c>
      <c r="C32" s="10"/>
      <c r="D32" s="10"/>
      <c r="E32" s="10"/>
      <c r="F32" s="10"/>
      <c r="G32" s="10"/>
    </row>
    <row r="33" spans="1:7" x14ac:dyDescent="0.2">
      <c r="A33" s="54" t="s">
        <v>136</v>
      </c>
      <c r="B33" s="80" t="s">
        <v>137</v>
      </c>
      <c r="C33" s="10"/>
      <c r="D33" s="10"/>
      <c r="E33" s="10"/>
      <c r="F33" s="10"/>
      <c r="G33" s="10"/>
    </row>
    <row r="34" spans="1:7" x14ac:dyDescent="0.2">
      <c r="A34" s="54" t="s">
        <v>138</v>
      </c>
      <c r="B34" s="81" t="s">
        <v>139</v>
      </c>
      <c r="C34" s="10"/>
      <c r="D34" s="10"/>
      <c r="E34" s="10"/>
      <c r="F34" s="10"/>
      <c r="G34" s="10"/>
    </row>
  </sheetData>
  <mergeCells count="3">
    <mergeCell ref="A1:G1"/>
    <mergeCell ref="A2:G2"/>
    <mergeCell ref="A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showGridLines="0" zoomScaleNormal="100" workbookViewId="0"/>
  </sheetViews>
  <sheetFormatPr baseColWidth="10" defaultColWidth="8.6640625" defaultRowHeight="15" x14ac:dyDescent="0.2"/>
  <cols>
    <col min="1" max="1" width="38" customWidth="1"/>
    <col min="2" max="3" width="20" customWidth="1"/>
    <col min="4" max="4" width="30" customWidth="1"/>
  </cols>
  <sheetData>
    <row r="1" spans="1:4" ht="36" customHeight="1" x14ac:dyDescent="0.2">
      <c r="A1" s="3" t="s">
        <v>140</v>
      </c>
      <c r="B1" s="3"/>
      <c r="C1" s="3"/>
      <c r="D1" s="3"/>
    </row>
    <row r="3" spans="1:4" ht="19.5" customHeight="1" x14ac:dyDescent="0.2">
      <c r="A3" s="1" t="s">
        <v>141</v>
      </c>
      <c r="B3" s="1"/>
      <c r="C3" s="1"/>
      <c r="D3" s="1"/>
    </row>
    <row r="4" spans="1:4" x14ac:dyDescent="0.2">
      <c r="A4" s="54" t="s">
        <v>142</v>
      </c>
      <c r="B4" s="6">
        <v>6500000</v>
      </c>
      <c r="C4" s="10"/>
      <c r="D4" s="10"/>
    </row>
    <row r="5" spans="1:4" x14ac:dyDescent="0.2">
      <c r="A5" s="54" t="s">
        <v>143</v>
      </c>
      <c r="B5" s="6">
        <v>3847500</v>
      </c>
      <c r="C5" s="10"/>
      <c r="D5" s="10"/>
    </row>
    <row r="6" spans="1:4" x14ac:dyDescent="0.2">
      <c r="A6" s="54" t="s">
        <v>83</v>
      </c>
      <c r="B6" s="6">
        <v>330000</v>
      </c>
      <c r="C6" s="10"/>
      <c r="D6" s="10"/>
    </row>
    <row r="7" spans="1:4" x14ac:dyDescent="0.2">
      <c r="A7" s="54" t="s">
        <v>144</v>
      </c>
      <c r="B7" s="6">
        <v>228000</v>
      </c>
      <c r="C7" s="10"/>
      <c r="D7" s="10"/>
    </row>
    <row r="8" spans="1:4" ht="16" x14ac:dyDescent="0.2">
      <c r="A8" s="82" t="s">
        <v>145</v>
      </c>
      <c r="B8" s="83">
        <v>10905500</v>
      </c>
      <c r="C8" s="18"/>
      <c r="D8" s="18"/>
    </row>
    <row r="10" spans="1:4" ht="19.5" customHeight="1" x14ac:dyDescent="0.2">
      <c r="A10" s="1" t="s">
        <v>146</v>
      </c>
      <c r="B10" s="1"/>
      <c r="C10" s="1"/>
      <c r="D10" s="1"/>
    </row>
    <row r="11" spans="1:4" x14ac:dyDescent="0.2">
      <c r="A11" s="54" t="s">
        <v>147</v>
      </c>
      <c r="B11" s="84">
        <v>7905000</v>
      </c>
      <c r="C11" s="10"/>
      <c r="D11" s="10"/>
    </row>
    <row r="12" spans="1:4" x14ac:dyDescent="0.2">
      <c r="A12" s="54" t="s">
        <v>148</v>
      </c>
      <c r="B12" s="84">
        <v>1728000</v>
      </c>
      <c r="C12" s="10"/>
      <c r="D12" s="10"/>
    </row>
    <row r="13" spans="1:4" x14ac:dyDescent="0.2">
      <c r="A13" s="54" t="s">
        <v>149</v>
      </c>
      <c r="B13" s="84">
        <v>1764000</v>
      </c>
      <c r="C13" s="10"/>
      <c r="D13" s="10"/>
    </row>
    <row r="14" spans="1:4" x14ac:dyDescent="0.2">
      <c r="A14" s="54" t="s">
        <v>150</v>
      </c>
      <c r="B14" s="84">
        <v>350000</v>
      </c>
      <c r="C14" s="10"/>
      <c r="D14" s="10"/>
    </row>
    <row r="15" spans="1:4" ht="16" x14ac:dyDescent="0.2">
      <c r="A15" s="82" t="s">
        <v>151</v>
      </c>
      <c r="B15" s="85">
        <v>11747000</v>
      </c>
      <c r="C15" s="18"/>
      <c r="D15" s="18"/>
    </row>
    <row r="18" spans="1:4" ht="19.5" customHeight="1" x14ac:dyDescent="0.2">
      <c r="A18" s="1" t="s">
        <v>152</v>
      </c>
      <c r="B18" s="1"/>
      <c r="C18" s="1"/>
      <c r="D18" s="1"/>
    </row>
    <row r="19" spans="1:4" x14ac:dyDescent="0.2">
      <c r="A19" s="54" t="s">
        <v>153</v>
      </c>
      <c r="B19" s="86">
        <v>10905500</v>
      </c>
      <c r="C19" s="10"/>
      <c r="D19" s="10"/>
    </row>
    <row r="20" spans="1:4" x14ac:dyDescent="0.2">
      <c r="A20" s="54" t="s">
        <v>154</v>
      </c>
      <c r="B20" s="86">
        <v>14878000</v>
      </c>
      <c r="C20" s="10"/>
      <c r="D20" s="10"/>
    </row>
    <row r="21" spans="1:4" x14ac:dyDescent="0.2">
      <c r="A21" s="54" t="s">
        <v>155</v>
      </c>
      <c r="B21" s="87" t="s">
        <v>156</v>
      </c>
      <c r="C21" s="10"/>
      <c r="D21" s="10"/>
    </row>
    <row r="22" spans="1:4" x14ac:dyDescent="0.2">
      <c r="A22" s="54" t="s">
        <v>157</v>
      </c>
      <c r="B22" s="86">
        <v>31958500</v>
      </c>
      <c r="C22" s="10"/>
      <c r="D22" s="10"/>
    </row>
    <row r="23" spans="1:4" x14ac:dyDescent="0.2">
      <c r="A23" s="54" t="s">
        <v>158</v>
      </c>
      <c r="B23" s="86">
        <v>49876000</v>
      </c>
      <c r="C23" s="10"/>
      <c r="D23" s="10"/>
    </row>
  </sheetData>
  <mergeCells count="4">
    <mergeCell ref="A1:D1"/>
    <mergeCell ref="A3:D3"/>
    <mergeCell ref="A10:D10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Supuestos</vt:lpstr>
      <vt:lpstr>2. P&amp;L Año 1 Mensual</vt:lpstr>
      <vt:lpstr>3. Proyección 5 Años</vt:lpstr>
      <vt:lpstr>4. Unit 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Rebolledo</cp:lastModifiedBy>
  <cp:revision>0</cp:revision>
  <dcterms:created xsi:type="dcterms:W3CDTF">2026-03-23T00:34:18Z</dcterms:created>
  <dcterms:modified xsi:type="dcterms:W3CDTF">2026-03-23T00:40:07Z</dcterms:modified>
  <dc:language>en-US</dc:language>
</cp:coreProperties>
</file>